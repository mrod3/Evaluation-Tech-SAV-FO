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sga\Downloads\"/>
    </mc:Choice>
  </mc:AlternateContent>
  <xr:revisionPtr revIDLastSave="0" documentId="13_ncr:1_{6D27CB52-61F3-4395-8C46-D228498D71D2}" xr6:coauthVersionLast="47" xr6:coauthVersionMax="47" xr10:uidLastSave="{00000000-0000-0000-0000-000000000000}"/>
  <bookViews>
    <workbookView xWindow="-120" yWindow="-120" windowWidth="20730" windowHeight="11040" tabRatio="769" xr2:uid="{00000000-000D-0000-FFFF-FFFF00000000}"/>
  </bookViews>
  <sheets>
    <sheet name="👥 ÉQUIPES" sheetId="1" r:id="rId1"/>
    <sheet name="📋 SAISIE" sheetId="2" r:id="rId2"/>
    <sheet name="📊 TABLEAU DE BORD" sheetId="3" r:id="rId3"/>
    <sheet name="📅 SUIVI PAR JOUR" sheetId="4" r:id="rId4"/>
    <sheet name="⚠️ CRITÈRES FAIBLES" sheetId="5" r:id="rId5"/>
    <sheet name="🎓 PLAN FORMATION" sheetId="6" r:id="rId6"/>
    <sheet name="ℹ️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6" l="1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J29" i="5"/>
  <c r="I29" i="5"/>
  <c r="H29" i="5"/>
  <c r="G29" i="5"/>
  <c r="F29" i="5"/>
  <c r="E29" i="5"/>
  <c r="D29" i="5"/>
  <c r="C29" i="5"/>
  <c r="J28" i="5"/>
  <c r="I28" i="5"/>
  <c r="H28" i="5"/>
  <c r="G28" i="5"/>
  <c r="F28" i="5"/>
  <c r="E28" i="5"/>
  <c r="D28" i="5"/>
  <c r="C28" i="5"/>
  <c r="J27" i="5"/>
  <c r="I27" i="5"/>
  <c r="H27" i="5"/>
  <c r="G27" i="5"/>
  <c r="F27" i="5"/>
  <c r="E27" i="5"/>
  <c r="D27" i="5"/>
  <c r="C27" i="5"/>
  <c r="J26" i="5"/>
  <c r="I26" i="5"/>
  <c r="H26" i="5"/>
  <c r="G26" i="5"/>
  <c r="F26" i="5"/>
  <c r="E26" i="5"/>
  <c r="D26" i="5"/>
  <c r="C26" i="5"/>
  <c r="J25" i="5"/>
  <c r="I25" i="5"/>
  <c r="H25" i="5"/>
  <c r="G25" i="5"/>
  <c r="F25" i="5"/>
  <c r="E25" i="5"/>
  <c r="D25" i="5"/>
  <c r="C25" i="5"/>
  <c r="J24" i="5"/>
  <c r="I24" i="5"/>
  <c r="H24" i="5"/>
  <c r="G24" i="5"/>
  <c r="F24" i="5"/>
  <c r="E24" i="5"/>
  <c r="D24" i="5"/>
  <c r="C24" i="5"/>
  <c r="J23" i="5"/>
  <c r="I23" i="5"/>
  <c r="H23" i="5"/>
  <c r="G23" i="5"/>
  <c r="F23" i="5"/>
  <c r="E23" i="5"/>
  <c r="D23" i="5"/>
  <c r="C23" i="5"/>
  <c r="J22" i="5"/>
  <c r="I22" i="5"/>
  <c r="H22" i="5"/>
  <c r="G22" i="5"/>
  <c r="F22" i="5"/>
  <c r="E22" i="5"/>
  <c r="D22" i="5"/>
  <c r="C22" i="5"/>
  <c r="J21" i="5"/>
  <c r="I21" i="5"/>
  <c r="H21" i="5"/>
  <c r="G21" i="5"/>
  <c r="F21" i="5"/>
  <c r="E21" i="5"/>
  <c r="D21" i="5"/>
  <c r="C21" i="5"/>
  <c r="J20" i="5"/>
  <c r="I20" i="5"/>
  <c r="H20" i="5"/>
  <c r="G20" i="5"/>
  <c r="F20" i="5"/>
  <c r="E20" i="5"/>
  <c r="D20" i="5"/>
  <c r="C20" i="5"/>
  <c r="J18" i="5"/>
  <c r="I18" i="5"/>
  <c r="H18" i="5"/>
  <c r="G18" i="5"/>
  <c r="F18" i="5"/>
  <c r="E18" i="5"/>
  <c r="D18" i="5"/>
  <c r="C18" i="5"/>
  <c r="J17" i="5"/>
  <c r="I17" i="5"/>
  <c r="H17" i="5"/>
  <c r="G17" i="5"/>
  <c r="F17" i="5"/>
  <c r="E17" i="5"/>
  <c r="D17" i="5"/>
  <c r="C17" i="5"/>
  <c r="J16" i="5"/>
  <c r="I16" i="5"/>
  <c r="H16" i="5"/>
  <c r="G16" i="5"/>
  <c r="F16" i="5"/>
  <c r="E16" i="5"/>
  <c r="D16" i="5"/>
  <c r="C16" i="5"/>
  <c r="J15" i="5"/>
  <c r="I15" i="5"/>
  <c r="H15" i="5"/>
  <c r="G15" i="5"/>
  <c r="F15" i="5"/>
  <c r="E15" i="5"/>
  <c r="D15" i="5"/>
  <c r="C15" i="5"/>
  <c r="J14" i="5"/>
  <c r="I14" i="5"/>
  <c r="H14" i="5"/>
  <c r="G14" i="5"/>
  <c r="F14" i="5"/>
  <c r="E14" i="5"/>
  <c r="D14" i="5"/>
  <c r="C14" i="5"/>
  <c r="J13" i="5"/>
  <c r="I13" i="5"/>
  <c r="H13" i="5"/>
  <c r="G13" i="5"/>
  <c r="F13" i="5"/>
  <c r="E13" i="5"/>
  <c r="D13" i="5"/>
  <c r="C13" i="5"/>
  <c r="J12" i="5"/>
  <c r="I12" i="5"/>
  <c r="H12" i="5"/>
  <c r="G12" i="5"/>
  <c r="F12" i="5"/>
  <c r="E12" i="5"/>
  <c r="D12" i="5"/>
  <c r="C12" i="5"/>
  <c r="J11" i="5"/>
  <c r="I11" i="5"/>
  <c r="H11" i="5"/>
  <c r="G11" i="5"/>
  <c r="F11" i="5"/>
  <c r="E11" i="5"/>
  <c r="D11" i="5"/>
  <c r="C11" i="5"/>
  <c r="J10" i="5"/>
  <c r="I10" i="5"/>
  <c r="H10" i="5"/>
  <c r="G10" i="5"/>
  <c r="F10" i="5"/>
  <c r="E10" i="5"/>
  <c r="D10" i="5"/>
  <c r="C10" i="5"/>
  <c r="J9" i="5"/>
  <c r="I9" i="5"/>
  <c r="H9" i="5"/>
  <c r="G9" i="5"/>
  <c r="F9" i="5"/>
  <c r="E9" i="5"/>
  <c r="D9" i="5"/>
  <c r="C9" i="5"/>
  <c r="J8" i="5"/>
  <c r="I8" i="5"/>
  <c r="H8" i="5"/>
  <c r="G8" i="5"/>
  <c r="F8" i="5"/>
  <c r="E8" i="5"/>
  <c r="D8" i="5"/>
  <c r="C8" i="5"/>
  <c r="J7" i="5"/>
  <c r="I7" i="5"/>
  <c r="H7" i="5"/>
  <c r="G7" i="5"/>
  <c r="F7" i="5"/>
  <c r="E7" i="5"/>
  <c r="D7" i="5"/>
  <c r="C7" i="5"/>
  <c r="J4" i="5"/>
  <c r="I4" i="5"/>
  <c r="H4" i="5"/>
  <c r="G4" i="5"/>
  <c r="F4" i="5"/>
  <c r="E4" i="5"/>
  <c r="D4" i="5"/>
  <c r="C4" i="5"/>
  <c r="F27" i="4"/>
  <c r="I27" i="4" s="1"/>
  <c r="E27" i="4"/>
  <c r="D27" i="4"/>
  <c r="C27" i="4"/>
  <c r="B27" i="4"/>
  <c r="F26" i="4"/>
  <c r="I26" i="4" s="1"/>
  <c r="E26" i="4"/>
  <c r="D26" i="4"/>
  <c r="C26" i="4"/>
  <c r="B26" i="4"/>
  <c r="G25" i="4"/>
  <c r="F25" i="4"/>
  <c r="I25" i="4" s="1"/>
  <c r="E25" i="4"/>
  <c r="D25" i="4"/>
  <c r="C25" i="4"/>
  <c r="B25" i="4"/>
  <c r="H24" i="4"/>
  <c r="F24" i="4"/>
  <c r="I24" i="4" s="1"/>
  <c r="E24" i="4"/>
  <c r="D24" i="4"/>
  <c r="C24" i="4"/>
  <c r="B24" i="4"/>
  <c r="I23" i="4"/>
  <c r="G23" i="4"/>
  <c r="F23" i="4"/>
  <c r="H23" i="4" s="1"/>
  <c r="E23" i="4"/>
  <c r="D23" i="4"/>
  <c r="C23" i="4"/>
  <c r="B23" i="4"/>
  <c r="G22" i="4"/>
  <c r="F22" i="4"/>
  <c r="I22" i="4" s="1"/>
  <c r="E22" i="4"/>
  <c r="D22" i="4"/>
  <c r="C22" i="4"/>
  <c r="B22" i="4"/>
  <c r="H21" i="4"/>
  <c r="F21" i="4"/>
  <c r="I21" i="4" s="1"/>
  <c r="E21" i="4"/>
  <c r="D21" i="4"/>
  <c r="C21" i="4"/>
  <c r="B21" i="4"/>
  <c r="I20" i="4"/>
  <c r="H20" i="4"/>
  <c r="G20" i="4"/>
  <c r="F20" i="4"/>
  <c r="E20" i="4"/>
  <c r="D20" i="4"/>
  <c r="C20" i="4"/>
  <c r="B20" i="4"/>
  <c r="G19" i="4"/>
  <c r="F19" i="4"/>
  <c r="I19" i="4" s="1"/>
  <c r="E19" i="4"/>
  <c r="D19" i="4"/>
  <c r="C19" i="4"/>
  <c r="B19" i="4"/>
  <c r="H18" i="4"/>
  <c r="F18" i="4"/>
  <c r="I18" i="4" s="1"/>
  <c r="E18" i="4"/>
  <c r="D18" i="4"/>
  <c r="C18" i="4"/>
  <c r="B18" i="4"/>
  <c r="I17" i="4"/>
  <c r="H17" i="4"/>
  <c r="G17" i="4"/>
  <c r="F17" i="4"/>
  <c r="E17" i="4"/>
  <c r="D17" i="4"/>
  <c r="C17" i="4"/>
  <c r="B17" i="4"/>
  <c r="G16" i="4"/>
  <c r="F16" i="4"/>
  <c r="I16" i="4" s="1"/>
  <c r="E16" i="4"/>
  <c r="D16" i="4"/>
  <c r="C16" i="4"/>
  <c r="B16" i="4"/>
  <c r="H15" i="4"/>
  <c r="F15" i="4"/>
  <c r="I15" i="4" s="1"/>
  <c r="E15" i="4"/>
  <c r="D15" i="4"/>
  <c r="C15" i="4"/>
  <c r="B15" i="4"/>
  <c r="I14" i="4"/>
  <c r="H14" i="4"/>
  <c r="G14" i="4"/>
  <c r="F14" i="4"/>
  <c r="E14" i="4"/>
  <c r="D14" i="4"/>
  <c r="C14" i="4"/>
  <c r="B14" i="4"/>
  <c r="G13" i="4"/>
  <c r="F13" i="4"/>
  <c r="I13" i="4" s="1"/>
  <c r="E13" i="4"/>
  <c r="D13" i="4"/>
  <c r="C13" i="4"/>
  <c r="B13" i="4"/>
  <c r="H12" i="4"/>
  <c r="F12" i="4"/>
  <c r="I12" i="4" s="1"/>
  <c r="E12" i="4"/>
  <c r="D12" i="4"/>
  <c r="C12" i="4"/>
  <c r="B12" i="4"/>
  <c r="I11" i="4"/>
  <c r="H11" i="4"/>
  <c r="G11" i="4"/>
  <c r="F11" i="4"/>
  <c r="E11" i="4"/>
  <c r="D11" i="4"/>
  <c r="C11" i="4"/>
  <c r="B11" i="4"/>
  <c r="G10" i="4"/>
  <c r="F10" i="4"/>
  <c r="I10" i="4" s="1"/>
  <c r="E10" i="4"/>
  <c r="D10" i="4"/>
  <c r="C10" i="4"/>
  <c r="B10" i="4"/>
  <c r="H9" i="4"/>
  <c r="F9" i="4"/>
  <c r="I9" i="4" s="1"/>
  <c r="E9" i="4"/>
  <c r="D9" i="4"/>
  <c r="C9" i="4"/>
  <c r="B9" i="4"/>
  <c r="I8" i="4"/>
  <c r="H8" i="4"/>
  <c r="G8" i="4"/>
  <c r="F8" i="4"/>
  <c r="E8" i="4"/>
  <c r="D8" i="4"/>
  <c r="C8" i="4"/>
  <c r="B8" i="4"/>
  <c r="G26" i="3"/>
  <c r="G24" i="6" s="1"/>
  <c r="F26" i="3"/>
  <c r="E26" i="3"/>
  <c r="D26" i="3"/>
  <c r="C26" i="3"/>
  <c r="I26" i="3" s="1"/>
  <c r="B26" i="3"/>
  <c r="H25" i="3"/>
  <c r="F23" i="6" s="1"/>
  <c r="G25" i="3"/>
  <c r="G23" i="6" s="1"/>
  <c r="F25" i="3"/>
  <c r="E25" i="3"/>
  <c r="D25" i="3"/>
  <c r="C25" i="3"/>
  <c r="I25" i="3" s="1"/>
  <c r="B25" i="3"/>
  <c r="I24" i="3"/>
  <c r="G24" i="3"/>
  <c r="G22" i="6" s="1"/>
  <c r="F24" i="3"/>
  <c r="E24" i="3"/>
  <c r="D24" i="3"/>
  <c r="C24" i="3"/>
  <c r="H24" i="3" s="1"/>
  <c r="B24" i="3"/>
  <c r="G23" i="3"/>
  <c r="G21" i="6" s="1"/>
  <c r="F23" i="3"/>
  <c r="E23" i="3"/>
  <c r="D23" i="3"/>
  <c r="C23" i="3"/>
  <c r="I23" i="3" s="1"/>
  <c r="B23" i="3"/>
  <c r="H22" i="3"/>
  <c r="F20" i="6" s="1"/>
  <c r="G22" i="3"/>
  <c r="G20" i="6" s="1"/>
  <c r="F22" i="3"/>
  <c r="E22" i="3"/>
  <c r="D22" i="3"/>
  <c r="C22" i="3"/>
  <c r="I22" i="3" s="1"/>
  <c r="B22" i="3"/>
  <c r="I21" i="3"/>
  <c r="G21" i="3"/>
  <c r="G19" i="6" s="1"/>
  <c r="F21" i="3"/>
  <c r="E21" i="3"/>
  <c r="D21" i="3"/>
  <c r="C21" i="3"/>
  <c r="H21" i="3" s="1"/>
  <c r="B21" i="3"/>
  <c r="G20" i="3"/>
  <c r="G18" i="6" s="1"/>
  <c r="F20" i="3"/>
  <c r="E20" i="3"/>
  <c r="D20" i="3"/>
  <c r="C20" i="3"/>
  <c r="I20" i="3" s="1"/>
  <c r="B20" i="3"/>
  <c r="H19" i="3"/>
  <c r="F17" i="6" s="1"/>
  <c r="G19" i="3"/>
  <c r="G17" i="6" s="1"/>
  <c r="F19" i="3"/>
  <c r="E19" i="3"/>
  <c r="D19" i="3"/>
  <c r="C19" i="3"/>
  <c r="I19" i="3" s="1"/>
  <c r="B19" i="3"/>
  <c r="I18" i="3"/>
  <c r="G18" i="3"/>
  <c r="G16" i="6" s="1"/>
  <c r="F18" i="3"/>
  <c r="E18" i="3"/>
  <c r="D18" i="3"/>
  <c r="C18" i="3"/>
  <c r="H18" i="3" s="1"/>
  <c r="B18" i="3"/>
  <c r="G17" i="3"/>
  <c r="G15" i="6" s="1"/>
  <c r="F17" i="3"/>
  <c r="E17" i="3"/>
  <c r="D17" i="3"/>
  <c r="C17" i="3"/>
  <c r="I17" i="3" s="1"/>
  <c r="B17" i="3"/>
  <c r="H16" i="3"/>
  <c r="F14" i="6" s="1"/>
  <c r="G16" i="3"/>
  <c r="G14" i="6" s="1"/>
  <c r="F16" i="3"/>
  <c r="E16" i="3"/>
  <c r="D16" i="3"/>
  <c r="C16" i="3"/>
  <c r="I16" i="3" s="1"/>
  <c r="B16" i="3"/>
  <c r="I15" i="3"/>
  <c r="G15" i="3"/>
  <c r="G13" i="6" s="1"/>
  <c r="F15" i="3"/>
  <c r="E15" i="3"/>
  <c r="D15" i="3"/>
  <c r="C15" i="3"/>
  <c r="H15" i="3" s="1"/>
  <c r="B15" i="3"/>
  <c r="G14" i="3"/>
  <c r="G12" i="6" s="1"/>
  <c r="F14" i="3"/>
  <c r="E14" i="3"/>
  <c r="D14" i="3"/>
  <c r="C14" i="3"/>
  <c r="I14" i="3" s="1"/>
  <c r="B14" i="3"/>
  <c r="H13" i="3"/>
  <c r="F11" i="6" s="1"/>
  <c r="G13" i="3"/>
  <c r="G11" i="6" s="1"/>
  <c r="F13" i="3"/>
  <c r="E13" i="3"/>
  <c r="D13" i="3"/>
  <c r="C13" i="3"/>
  <c r="I13" i="3" s="1"/>
  <c r="B13" i="3"/>
  <c r="I12" i="3"/>
  <c r="G12" i="3"/>
  <c r="G10" i="6" s="1"/>
  <c r="F12" i="3"/>
  <c r="E12" i="3"/>
  <c r="D12" i="3"/>
  <c r="C12" i="3"/>
  <c r="H12" i="3" s="1"/>
  <c r="B12" i="3"/>
  <c r="G11" i="3"/>
  <c r="G9" i="6" s="1"/>
  <c r="F11" i="3"/>
  <c r="E11" i="3"/>
  <c r="D11" i="3"/>
  <c r="C11" i="3"/>
  <c r="I11" i="3" s="1"/>
  <c r="B11" i="3"/>
  <c r="H10" i="3"/>
  <c r="F8" i="6" s="1"/>
  <c r="G10" i="3"/>
  <c r="G8" i="6" s="1"/>
  <c r="F10" i="3"/>
  <c r="E10" i="3"/>
  <c r="D10" i="3"/>
  <c r="C10" i="3"/>
  <c r="I10" i="3" s="1"/>
  <c r="B10" i="3"/>
  <c r="I9" i="3"/>
  <c r="G9" i="3"/>
  <c r="G7" i="6" s="1"/>
  <c r="F9" i="3"/>
  <c r="E9" i="3"/>
  <c r="D9" i="3"/>
  <c r="C9" i="3"/>
  <c r="H9" i="3" s="1"/>
  <c r="B9" i="3"/>
  <c r="G8" i="3"/>
  <c r="G6" i="6" s="1"/>
  <c r="F8" i="3"/>
  <c r="E8" i="3"/>
  <c r="D8" i="3"/>
  <c r="C8" i="3"/>
  <c r="I8" i="3" s="1"/>
  <c r="B8" i="3"/>
  <c r="H7" i="3"/>
  <c r="F5" i="6" s="1"/>
  <c r="G7" i="3"/>
  <c r="G5" i="6" s="1"/>
  <c r="F7" i="3"/>
  <c r="E7" i="3"/>
  <c r="D7" i="3"/>
  <c r="C7" i="3"/>
  <c r="I7" i="3" s="1"/>
  <c r="B7" i="3"/>
  <c r="AC56" i="2"/>
  <c r="AB56" i="2"/>
  <c r="AD56" i="2" s="1"/>
  <c r="AE56" i="2" s="1"/>
  <c r="AC55" i="2"/>
  <c r="AB55" i="2"/>
  <c r="AD55" i="2" s="1"/>
  <c r="AE55" i="2" s="1"/>
  <c r="AC54" i="2"/>
  <c r="AB54" i="2"/>
  <c r="AD54" i="2" s="1"/>
  <c r="AE54" i="2" s="1"/>
  <c r="AC53" i="2"/>
  <c r="AB53" i="2"/>
  <c r="AD53" i="2" s="1"/>
  <c r="AE53" i="2" s="1"/>
  <c r="AC52" i="2"/>
  <c r="AB52" i="2"/>
  <c r="AD52" i="2" s="1"/>
  <c r="AE52" i="2" s="1"/>
  <c r="AC51" i="2"/>
  <c r="AB51" i="2"/>
  <c r="AD51" i="2" s="1"/>
  <c r="AE51" i="2" s="1"/>
  <c r="AC50" i="2"/>
  <c r="AB50" i="2"/>
  <c r="AD50" i="2" s="1"/>
  <c r="AE50" i="2" s="1"/>
  <c r="AC49" i="2"/>
  <c r="AB49" i="2"/>
  <c r="AD49" i="2" s="1"/>
  <c r="AE49" i="2" s="1"/>
  <c r="AC48" i="2"/>
  <c r="AB48" i="2"/>
  <c r="AD48" i="2" s="1"/>
  <c r="AE48" i="2" s="1"/>
  <c r="AC47" i="2"/>
  <c r="AB47" i="2"/>
  <c r="AD47" i="2" s="1"/>
  <c r="AE47" i="2" s="1"/>
  <c r="AC46" i="2"/>
  <c r="AB46" i="2"/>
  <c r="AD46" i="2" s="1"/>
  <c r="AE46" i="2" s="1"/>
  <c r="AC45" i="2"/>
  <c r="AB45" i="2"/>
  <c r="AD45" i="2" s="1"/>
  <c r="AE45" i="2" s="1"/>
  <c r="AC44" i="2"/>
  <c r="AB44" i="2"/>
  <c r="AD44" i="2" s="1"/>
  <c r="AE44" i="2" s="1"/>
  <c r="AC43" i="2"/>
  <c r="AB43" i="2"/>
  <c r="AD43" i="2" s="1"/>
  <c r="AE43" i="2" s="1"/>
  <c r="AC42" i="2"/>
  <c r="AB42" i="2"/>
  <c r="AD42" i="2" s="1"/>
  <c r="AE42" i="2" s="1"/>
  <c r="AC41" i="2"/>
  <c r="AB41" i="2"/>
  <c r="AD41" i="2" s="1"/>
  <c r="AE41" i="2" s="1"/>
  <c r="AC40" i="2"/>
  <c r="AB40" i="2"/>
  <c r="AD40" i="2" s="1"/>
  <c r="AE40" i="2" s="1"/>
  <c r="AC39" i="2"/>
  <c r="AB39" i="2"/>
  <c r="AD39" i="2" s="1"/>
  <c r="AE39" i="2" s="1"/>
  <c r="AC38" i="2"/>
  <c r="AB38" i="2"/>
  <c r="AD38" i="2" s="1"/>
  <c r="AE38" i="2" s="1"/>
  <c r="AC37" i="2"/>
  <c r="AB37" i="2"/>
  <c r="AD37" i="2" s="1"/>
  <c r="AE37" i="2" s="1"/>
  <c r="AC36" i="2"/>
  <c r="AB36" i="2"/>
  <c r="AD36" i="2" s="1"/>
  <c r="AE36" i="2" s="1"/>
  <c r="AC35" i="2"/>
  <c r="AB35" i="2"/>
  <c r="AD35" i="2" s="1"/>
  <c r="AE35" i="2" s="1"/>
  <c r="AC34" i="2"/>
  <c r="AB34" i="2"/>
  <c r="AD34" i="2" s="1"/>
  <c r="AE34" i="2" s="1"/>
  <c r="AC33" i="2"/>
  <c r="AB33" i="2"/>
  <c r="AD33" i="2" s="1"/>
  <c r="AE33" i="2" s="1"/>
  <c r="AC32" i="2"/>
  <c r="AB32" i="2"/>
  <c r="AD32" i="2" s="1"/>
  <c r="AE32" i="2" s="1"/>
  <c r="AC31" i="2"/>
  <c r="AB31" i="2"/>
  <c r="AD31" i="2" s="1"/>
  <c r="AE31" i="2" s="1"/>
  <c r="AC30" i="2"/>
  <c r="AB30" i="2"/>
  <c r="AD30" i="2" s="1"/>
  <c r="AE30" i="2" s="1"/>
  <c r="AC29" i="2"/>
  <c r="AB29" i="2"/>
  <c r="AD29" i="2" s="1"/>
  <c r="AE29" i="2" s="1"/>
  <c r="AC28" i="2"/>
  <c r="AB28" i="2"/>
  <c r="AD28" i="2" s="1"/>
  <c r="AE28" i="2" s="1"/>
  <c r="AC27" i="2"/>
  <c r="AB27" i="2"/>
  <c r="AD27" i="2" s="1"/>
  <c r="AE27" i="2" s="1"/>
  <c r="AC26" i="2"/>
  <c r="AB26" i="2"/>
  <c r="AD26" i="2" s="1"/>
  <c r="AE26" i="2" s="1"/>
  <c r="AC25" i="2"/>
  <c r="AB25" i="2"/>
  <c r="AD25" i="2" s="1"/>
  <c r="AE25" i="2" s="1"/>
  <c r="AC24" i="2"/>
  <c r="AB24" i="2"/>
  <c r="AD24" i="2" s="1"/>
  <c r="AE24" i="2" s="1"/>
  <c r="AC23" i="2"/>
  <c r="AB23" i="2"/>
  <c r="AD23" i="2" s="1"/>
  <c r="AE23" i="2" s="1"/>
  <c r="AC22" i="2"/>
  <c r="AB22" i="2"/>
  <c r="AD22" i="2" s="1"/>
  <c r="AE22" i="2" s="1"/>
  <c r="AC21" i="2"/>
  <c r="AB21" i="2"/>
  <c r="AD21" i="2" s="1"/>
  <c r="AE21" i="2" s="1"/>
  <c r="AC20" i="2"/>
  <c r="AB20" i="2"/>
  <c r="AD20" i="2" s="1"/>
  <c r="AE20" i="2" s="1"/>
  <c r="AC19" i="2"/>
  <c r="AB19" i="2"/>
  <c r="AD19" i="2" s="1"/>
  <c r="AE19" i="2" s="1"/>
  <c r="AC18" i="2"/>
  <c r="AB18" i="2"/>
  <c r="AD18" i="2" s="1"/>
  <c r="AE18" i="2" s="1"/>
  <c r="AC17" i="2"/>
  <c r="AB17" i="2"/>
  <c r="AD17" i="2" s="1"/>
  <c r="AE17" i="2" s="1"/>
  <c r="AC16" i="2"/>
  <c r="AB16" i="2"/>
  <c r="AD16" i="2" s="1"/>
  <c r="AE16" i="2" s="1"/>
  <c r="AC15" i="2"/>
  <c r="AB15" i="2"/>
  <c r="AD15" i="2" s="1"/>
  <c r="AE15" i="2" s="1"/>
  <c r="AC14" i="2"/>
  <c r="AB14" i="2"/>
  <c r="AD14" i="2" s="1"/>
  <c r="AE14" i="2" s="1"/>
  <c r="AC13" i="2"/>
  <c r="AB13" i="2"/>
  <c r="AD13" i="2" s="1"/>
  <c r="AE13" i="2" s="1"/>
  <c r="AC12" i="2"/>
  <c r="AB12" i="2"/>
  <c r="AD12" i="2" s="1"/>
  <c r="AE12" i="2" s="1"/>
  <c r="AC11" i="2"/>
  <c r="AB11" i="2"/>
  <c r="AD11" i="2" s="1"/>
  <c r="AE11" i="2" s="1"/>
  <c r="AC10" i="2"/>
  <c r="AB10" i="2"/>
  <c r="AD10" i="2" s="1"/>
  <c r="AE10" i="2" s="1"/>
  <c r="AC9" i="2"/>
  <c r="AB9" i="2"/>
  <c r="AD9" i="2" s="1"/>
  <c r="AE9" i="2" s="1"/>
  <c r="AC8" i="2"/>
  <c r="AB8" i="2"/>
  <c r="AD8" i="2" s="1"/>
  <c r="AE8" i="2" s="1"/>
  <c r="AC7" i="2"/>
  <c r="AB7" i="2"/>
  <c r="AD7" i="2" s="1"/>
  <c r="AE7" i="2" s="1"/>
  <c r="F19" i="6" l="1"/>
  <c r="D19" i="6"/>
  <c r="AG44" i="2"/>
  <c r="AF44" i="2"/>
  <c r="F10" i="6"/>
  <c r="D10" i="6"/>
  <c r="AG9" i="2"/>
  <c r="AF9" i="2"/>
  <c r="AG33" i="2"/>
  <c r="AF33" i="2"/>
  <c r="AG45" i="2"/>
  <c r="AF45" i="2"/>
  <c r="AG34" i="2"/>
  <c r="AF34" i="2"/>
  <c r="AG40" i="2"/>
  <c r="AF40" i="2"/>
  <c r="AG46" i="2"/>
  <c r="AF46" i="2"/>
  <c r="AG52" i="2"/>
  <c r="AF52" i="2"/>
  <c r="F7" i="6"/>
  <c r="D7" i="6"/>
  <c r="F16" i="6"/>
  <c r="D16" i="6"/>
  <c r="AG14" i="2"/>
  <c r="AF14" i="2"/>
  <c r="AG38" i="2"/>
  <c r="AF38" i="2"/>
  <c r="AG50" i="2"/>
  <c r="AF50" i="2"/>
  <c r="AG27" i="2"/>
  <c r="AF27" i="2"/>
  <c r="AG28" i="2"/>
  <c r="AF28" i="2"/>
  <c r="AG8" i="2"/>
  <c r="AF8" i="2"/>
  <c r="AG39" i="2"/>
  <c r="AF39" i="2"/>
  <c r="AG17" i="2"/>
  <c r="AF17" i="2"/>
  <c r="AG23" i="2"/>
  <c r="AF23" i="2"/>
  <c r="AG29" i="2"/>
  <c r="AF29" i="2"/>
  <c r="AG35" i="2"/>
  <c r="AF35" i="2"/>
  <c r="AG41" i="2"/>
  <c r="AF41" i="2"/>
  <c r="AG47" i="2"/>
  <c r="AF47" i="2"/>
  <c r="AG53" i="2"/>
  <c r="AF53" i="2"/>
  <c r="AG32" i="2"/>
  <c r="AF32" i="2"/>
  <c r="AG15" i="2"/>
  <c r="AF15" i="2"/>
  <c r="AG16" i="2"/>
  <c r="AF16" i="2"/>
  <c r="F22" i="6"/>
  <c r="D22" i="6"/>
  <c r="AG20" i="2"/>
  <c r="AF20" i="2"/>
  <c r="AG10" i="2"/>
  <c r="AF10" i="2"/>
  <c r="AG22" i="2"/>
  <c r="AF22" i="2"/>
  <c r="AG18" i="2"/>
  <c r="AF18" i="2"/>
  <c r="AG30" i="2"/>
  <c r="AF30" i="2"/>
  <c r="AG42" i="2"/>
  <c r="AF42" i="2"/>
  <c r="AG54" i="2"/>
  <c r="AF54" i="2"/>
  <c r="AG7" i="2"/>
  <c r="AF7" i="2"/>
  <c r="AG19" i="2"/>
  <c r="AF19" i="2"/>
  <c r="AG25" i="2"/>
  <c r="AF25" i="2"/>
  <c r="AG37" i="2"/>
  <c r="AF37" i="2"/>
  <c r="AG43" i="2"/>
  <c r="AF43" i="2"/>
  <c r="AG49" i="2"/>
  <c r="AF49" i="2"/>
  <c r="AG55" i="2"/>
  <c r="AF55" i="2"/>
  <c r="AG26" i="2"/>
  <c r="AF26" i="2"/>
  <c r="AG56" i="2"/>
  <c r="AF56" i="2"/>
  <c r="AG21" i="2"/>
  <c r="AF21" i="2"/>
  <c r="AG51" i="2"/>
  <c r="AF51" i="2"/>
  <c r="AG11" i="2"/>
  <c r="AF11" i="2"/>
  <c r="AG12" i="2"/>
  <c r="AF12" i="2"/>
  <c r="AG24" i="2"/>
  <c r="AF24" i="2"/>
  <c r="AG36" i="2"/>
  <c r="AF36" i="2"/>
  <c r="AG48" i="2"/>
  <c r="AF48" i="2"/>
  <c r="F13" i="6"/>
  <c r="D13" i="6"/>
  <c r="AG13" i="2"/>
  <c r="AF13" i="2"/>
  <c r="AG31" i="2"/>
  <c r="AF31" i="2"/>
  <c r="C5" i="6"/>
  <c r="C7" i="6"/>
  <c r="C9" i="6"/>
  <c r="C11" i="6"/>
  <c r="C13" i="6"/>
  <c r="C15" i="6"/>
  <c r="C17" i="6"/>
  <c r="C19" i="6"/>
  <c r="C21" i="6"/>
  <c r="C23" i="6"/>
  <c r="H8" i="3"/>
  <c r="H11" i="3"/>
  <c r="H14" i="3"/>
  <c r="H17" i="3"/>
  <c r="H20" i="3"/>
  <c r="H23" i="3"/>
  <c r="H26" i="3"/>
  <c r="H10" i="4"/>
  <c r="H13" i="4"/>
  <c r="H16" i="4"/>
  <c r="H19" i="4"/>
  <c r="H22" i="4"/>
  <c r="H25" i="4"/>
  <c r="D5" i="6"/>
  <c r="D11" i="6"/>
  <c r="D17" i="6"/>
  <c r="D23" i="6"/>
  <c r="E5" i="6"/>
  <c r="E7" i="6"/>
  <c r="E9" i="6"/>
  <c r="E11" i="6"/>
  <c r="E13" i="6"/>
  <c r="E15" i="6"/>
  <c r="E17" i="6"/>
  <c r="E19" i="6"/>
  <c r="E21" i="6"/>
  <c r="E23" i="6"/>
  <c r="G9" i="4"/>
  <c r="G12" i="4"/>
  <c r="G15" i="4"/>
  <c r="G18" i="4"/>
  <c r="G21" i="4"/>
  <c r="G24" i="4"/>
  <c r="G27" i="4"/>
  <c r="H27" i="4"/>
  <c r="C6" i="6"/>
  <c r="C8" i="6"/>
  <c r="C10" i="6"/>
  <c r="C12" i="6"/>
  <c r="C14" i="6"/>
  <c r="C16" i="6"/>
  <c r="C18" i="6"/>
  <c r="C20" i="6"/>
  <c r="C22" i="6"/>
  <c r="C24" i="6"/>
  <c r="D8" i="6"/>
  <c r="D14" i="6"/>
  <c r="D20" i="6"/>
  <c r="G26" i="4"/>
  <c r="E6" i="6"/>
  <c r="E8" i="6"/>
  <c r="E10" i="6"/>
  <c r="E12" i="6"/>
  <c r="E14" i="6"/>
  <c r="E16" i="6"/>
  <c r="E18" i="6"/>
  <c r="E20" i="6"/>
  <c r="E22" i="6"/>
  <c r="E24" i="6"/>
  <c r="H26" i="4"/>
  <c r="F24" i="6" l="1"/>
  <c r="D24" i="6"/>
  <c r="F21" i="6"/>
  <c r="D21" i="6"/>
  <c r="F18" i="6"/>
  <c r="D18" i="6"/>
  <c r="F15" i="6"/>
  <c r="D15" i="6"/>
  <c r="F12" i="6"/>
  <c r="D12" i="6"/>
  <c r="F9" i="6"/>
  <c r="D9" i="6"/>
  <c r="F6" i="6"/>
  <c r="D6" i="6"/>
</calcChain>
</file>

<file path=xl/sharedStrings.xml><?xml version="1.0" encoding="utf-8"?>
<sst xmlns="http://schemas.openxmlformats.org/spreadsheetml/2006/main" count="174" uniqueCount="170">
  <si>
    <t>👥  RÉFÉRENTIEL DES ÉQUIPES SAV</t>
  </si>
  <si>
    <t>Définissez ici chaque équipe. Le nom d'équipe sera utilisé dans la feuille SAISIE.</t>
  </si>
  <si>
    <t>NOM DE L'ÉQUIPE</t>
  </si>
  <si>
    <t>TECHNICIEN 1</t>
  </si>
  <si>
    <t>TECHNICIEN 2</t>
  </si>
  <si>
    <t>DATE CRÉATION</t>
  </si>
  <si>
    <t>Équipe A</t>
  </si>
  <si>
    <t>Équipe B</t>
  </si>
  <si>
    <t>Équipe C</t>
  </si>
  <si>
    <t>Équipe D</t>
  </si>
  <si>
    <t>Équipe E</t>
  </si>
  <si>
    <t>📋  SAISIE DES ÉVALUATIONS – 1 LIGNE = 1 INTERVENTION</t>
  </si>
  <si>
    <t>Saisissez les notes (1-5) pour chaque intervention. Le fichier calcule et parle automatiquement →</t>
  </si>
  <si>
    <t>IDENTIFICATION</t>
  </si>
  <si>
    <t>🛠️ TERRAIN (12 critères – max 60 pts)</t>
  </si>
  <si>
    <t>🧠 COMPORTEMENT (10 critères – max 50 pts)</t>
  </si>
  <si>
    <t>SCORES BRUTS</t>
  </si>
  <si>
    <t>RÉSULTAT</t>
  </si>
  <si>
    <t>DÉCISION AUTOMATIQUE</t>
  </si>
  <si>
    <t>← Notez chaque critère de 1 (insuffisant) à 5 (excellent) →</t>
  </si>
  <si>
    <t>#</t>
  </si>
  <si>
    <t>Date</t>
  </si>
  <si>
    <t>Équipe</t>
  </si>
  <si>
    <t>Réf. Intervention</t>
  </si>
  <si>
    <t>Responsable</t>
  </si>
  <si>
    <t>T1
Diagnostic initial</t>
  </si>
  <si>
    <t>T2
Contrôle voyants</t>
  </si>
  <si>
    <t>T3
Lecture RX</t>
  </si>
  <si>
    <t>T4
Logique de panne</t>
  </si>
  <si>
    <t>T5
Règle 30 min</t>
  </si>
  <si>
    <t>T6
Prise de décision</t>
  </si>
  <si>
    <t>T7
Réparation / KO</t>
  </si>
  <si>
    <t>T8
Cohérence motif</t>
  </si>
  <si>
    <t>T9
Praxedo</t>
  </si>
  <si>
    <t>T10
TeamLink</t>
  </si>
  <si>
    <t>T11
Clôture</t>
  </si>
  <si>
    <t>T12
Efficacité binôme</t>
  </si>
  <si>
    <t>C1
Rapidité réflexion</t>
  </si>
  <si>
    <t>C2
Logique analyse</t>
  </si>
  <si>
    <t>C3
Gestion du temps</t>
  </si>
  <si>
    <t>C4
Rigueur</t>
  </si>
  <si>
    <t>C5
Capacité à décider</t>
  </si>
  <si>
    <t>C6
Respect des règles</t>
  </si>
  <si>
    <t>C7
Gestion du stress</t>
  </si>
  <si>
    <t>C8
Complémentarité</t>
  </si>
  <si>
    <t>C9
Autonomie</t>
  </si>
  <si>
    <t>C10
Posture client</t>
  </si>
  <si>
    <t>Score
Terrain
/60</t>
  </si>
  <si>
    <t>Score
Comport.
/50</t>
  </si>
  <si>
    <t>Total
/110</t>
  </si>
  <si>
    <t>Note
/100</t>
  </si>
  <si>
    <t>Niveau
A/B/C/D</t>
  </si>
  <si>
    <t>💬 DÉCISION AUTOMATIQUE</t>
  </si>
  <si>
    <t>Observations</t>
  </si>
  <si>
    <t>📊  TABLEAU DE BORD – SUIVI PAR ÉQUIPE (TOUTES INTERVENTIONS)</t>
  </si>
  <si>
    <t>Ce tableau agrège automatiquement toutes les interventions saisies, par équipe. Filtrez par date dans la feuille SAISIE si besoin.</t>
  </si>
  <si>
    <t>ℹ️  Les indicateurs ci-dessous se mettent à jour automatiquement dès que vous saisissez des notes dans 📋 SAISIE</t>
  </si>
  <si>
    <t>ÉQUIPE</t>
  </si>
  <si>
    <t>Nb Interventions
évaluées</t>
  </si>
  <si>
    <t>Moy. Terrain
/60</t>
  </si>
  <si>
    <t>Moy. Comport.
/50</t>
  </si>
  <si>
    <t>Moy. Totale
/110</t>
  </si>
  <si>
    <t>Note Moy.
/100</t>
  </si>
  <si>
    <t>Niveau
Moyen</t>
  </si>
  <si>
    <t>💬 VERDICT ÉQUIPE AUTOMATIQUE</t>
  </si>
  <si>
    <t>📅  SUIVI PAR JOUR – ANALYSE QUOTIDIENNE</t>
  </si>
  <si>
    <t>Saisissez une date dans la colonne B pour voir toutes les interventions de ce jour et la synthèse de l'équipe ce jour-là.</t>
  </si>
  <si>
    <t>📅 Filtrer par date :</t>
  </si>
  <si>
    <t>← Saisissez une date pour filtrer les interventions de ce jour</t>
  </si>
  <si>
    <t>SYNTHÈSE DES ÉQUIPES POUR LA DATE SÉLECTIONNÉE</t>
  </si>
  <si>
    <t>Nb Interv.
ce jour</t>
  </si>
  <si>
    <t>Moy.
Terrain/60</t>
  </si>
  <si>
    <t>Moy.
Comport/50</t>
  </si>
  <si>
    <t>Moy. /100</t>
  </si>
  <si>
    <t>Niveau
Jour</t>
  </si>
  <si>
    <t>Tendance
vs global</t>
  </si>
  <si>
    <t>VERDICT DU JOUR</t>
  </si>
  <si>
    <t>⚠️  ANALYSE DES CRITÈRES FAIBLES PAR ÉQUIPE (Moyenne &lt; 3)</t>
  </si>
  <si>
    <t>Ce tableau identifie les critères où chaque équipe est en difficulté (moyenne &lt; 3/5). Utile pour cibler les formations.</t>
  </si>
  <si>
    <t>CRITÈRE</t>
  </si>
  <si>
    <t>🛠️ TERRAIN – 12 critères</t>
  </si>
  <si>
    <t>🛠️ Diagnostic initial</t>
  </si>
  <si>
    <t>🛠️ Contrôle voyants</t>
  </si>
  <si>
    <t>🛠️ Lecture RX</t>
  </si>
  <si>
    <t>🛠️ Logique de panne</t>
  </si>
  <si>
    <t>🛠️ Règle 30 min</t>
  </si>
  <si>
    <t>🛠️ Prise de décision</t>
  </si>
  <si>
    <t>🛠️ Réparation / KO</t>
  </si>
  <si>
    <t>🛠️ Cohérence motif</t>
  </si>
  <si>
    <t>🛠️ Praxedo</t>
  </si>
  <si>
    <t>🛠️ TeamLink</t>
  </si>
  <si>
    <t>🛠️ Clôture</t>
  </si>
  <si>
    <t>🛠️ Efficacité binôme</t>
  </si>
  <si>
    <t>🧠 COMPORTEMENT – 10 critères</t>
  </si>
  <si>
    <t>🧠 Rapidité réflexion</t>
  </si>
  <si>
    <t>🧠 Logique analyse</t>
  </si>
  <si>
    <t>🧠 Gestion du temps</t>
  </si>
  <si>
    <t>🧠 Rigueur</t>
  </si>
  <si>
    <t>🧠 Capacité à décider</t>
  </si>
  <si>
    <t>🧠 Respect des règles</t>
  </si>
  <si>
    <t>🧠 Gestion du stress</t>
  </si>
  <si>
    <t>🧠 Complémentarité</t>
  </si>
  <si>
    <t>🧠 Autonomie</t>
  </si>
  <si>
    <t>🧠 Posture client</t>
  </si>
  <si>
    <t>🎓  PLAN DE FORMATION – DÉCISIONS AUTOMATIQUES PAR ÉQUIPE</t>
  </si>
  <si>
    <t>Basé sur la moyenne globale de toutes les interventions. La décision et le planning de suivi sont générés automatiquement.</t>
  </si>
  <si>
    <t>Niveau</t>
  </si>
  <si>
    <t>Décision Formation</t>
  </si>
  <si>
    <t>Prochaine Éval.</t>
  </si>
  <si>
    <t>Recommandation Détaillée</t>
  </si>
  <si>
    <t>ℹ️  GUIDE D'UTILISATION</t>
  </si>
  <si>
    <t>COMMENT FONCTIONNE CE FICHIER ?</t>
  </si>
  <si>
    <t>STRUCTURE</t>
  </si>
  <si>
    <t>6 feuilles automatisées :</t>
  </si>
  <si>
    <t>👥 ÉQUIPES</t>
  </si>
  <si>
    <t>Définissez chaque équipe (nom + techniciens). 1 fois suffit.</t>
  </si>
  <si>
    <t>📋 SAISIE</t>
  </si>
  <si>
    <t>1 ligne = 1 intervention. Saisissez date, équipe, réf. et les 22 notes (1-5). Tout le reste se calcule seul.</t>
  </si>
  <si>
    <t>📊 TABLEAU DE BORD</t>
  </si>
  <si>
    <t>Vue consolidée par équipe : nb interventions, moyennes terrain/comport/global, niveau et verdict.</t>
  </si>
  <si>
    <t>📅 SUIVI PAR JOUR</t>
  </si>
  <si>
    <t>Entrez une date pour voir la performance de chaque équipe ce jour-là, avec comparaison vs leur moyenne globale.</t>
  </si>
  <si>
    <t>⚠️ CRITÈRES FAIBLES</t>
  </si>
  <si>
    <t>Repère automatiquement les critères où chaque équipe est en difficulté (moy &lt; 3/5).</t>
  </si>
  <si>
    <t>🎓 PLAN FORMATION</t>
  </si>
  <si>
    <t>Décision formation générée automatiquement : pas de formation / suivi / formation obligatoire / remise à niveau urgente.</t>
  </si>
  <si>
    <t>COMMENT SAISIR UNE INTERVENTION ?</t>
  </si>
  <si>
    <t>Étape 1</t>
  </si>
  <si>
    <t>Ouvrez 👥 ÉQUIPES et saisissez les noms d'équipe + techniciens (une seule fois).</t>
  </si>
  <si>
    <t>Étape 2</t>
  </si>
  <si>
    <t>Ouvrez 📋 SAISIE. Chaque ligne = une intervention terrain.</t>
  </si>
  <si>
    <t>Étape 3</t>
  </si>
  <si>
    <t>Remplissez : Date | Équipe (liste déroulante) | Réf. intervention | Responsable.</t>
  </si>
  <si>
    <t>Étape 4</t>
  </si>
  <si>
    <t>Notez les 12 critères TERRAIN (colonnes oranges) de 1 à 5.</t>
  </si>
  <si>
    <t>Étape 5</t>
  </si>
  <si>
    <t>Notez les 10 critères COMPORTEMENT (colonnes violettes) de 1 à 5.</t>
  </si>
  <si>
    <t>Étape 6</t>
  </si>
  <si>
    <t>Les colonnes vertes (score, niveau, décision) se remplissent seules !</t>
  </si>
  <si>
    <t>SYSTÈME DE NOTATION</t>
  </si>
  <si>
    <t>Note 1</t>
  </si>
  <si>
    <t>⭐         TRÈS INSUFFISANT – Non-maîtrise, remise à niveau urgente</t>
  </si>
  <si>
    <t>Note 2</t>
  </si>
  <si>
    <t>⭐⭐       INSUFFISANT – Difficultés significatives</t>
  </si>
  <si>
    <t>Note 3</t>
  </si>
  <si>
    <t>⭐⭐⭐     PASSABLE – Maîtrise partielle</t>
  </si>
  <si>
    <t>Note 4</t>
  </si>
  <si>
    <t>⭐⭐⭐⭐   BON – Quelques ajustements mineurs</t>
  </si>
  <si>
    <t>Note 5</t>
  </si>
  <si>
    <t>⭐⭐⭐⭐⭐ EXCELLENT – Maîtrise parfaite</t>
  </si>
  <si>
    <t>NIVEAUX GLOBAUX</t>
  </si>
  <si>
    <t>Niveau A</t>
  </si>
  <si>
    <t>85 – 100 pts → Excellent</t>
  </si>
  <si>
    <t>Niveau B</t>
  </si>
  <si>
    <t>70 – 84 pts  → Bon</t>
  </si>
  <si>
    <t>Niveau C</t>
  </si>
  <si>
    <t>50 – 69 pts  → Passable – Formation recommandée</t>
  </si>
  <si>
    <t>Niveau D</t>
  </si>
  <si>
    <t>&lt; 50 pts     → Insuffisant – Action corrective urgente</t>
  </si>
  <si>
    <t>CALCUL DES SCORES</t>
  </si>
  <si>
    <t>Terrain</t>
  </si>
  <si>
    <t>12 critères × 5 pts max = 60 pts</t>
  </si>
  <si>
    <t>Comportement</t>
  </si>
  <si>
    <t>10 critères × 5 pts max = 50 pts</t>
  </si>
  <si>
    <t>Total brut</t>
  </si>
  <si>
    <t>Max = 110 pts</t>
  </si>
  <si>
    <t>Note /100</t>
  </si>
  <si>
    <t>Note /100 = Total brut / 110 × 100</t>
  </si>
  <si>
    <t>Moyenne équipe</t>
  </si>
  <si>
    <t>Moyenne de toutes les interventions saisies pour cette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</si>
</sst>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3C5E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i/>
      <sz val="8"/>
      <color rgb="FFE67E22"/>
      <name val="Arial"/>
      <charset val="1"/>
    </font>
    <font>
      <i/>
      <sz val="8"/>
      <color rgb="FF8E44AD"/>
      <name val="Arial"/>
      <charset val="1"/>
    </font>
    <font>
      <sz val="9"/>
      <color rgb="FFBDC3C7"/>
      <name val="Arial"/>
      <charset val="1"/>
    </font>
    <font>
      <b/>
      <sz val="11"/>
      <color rgb="FFE67E22"/>
      <name val="Arial"/>
      <charset val="1"/>
    </font>
    <font>
      <b/>
      <sz val="11"/>
      <color rgb="FF8E44AD"/>
      <name val="Arial"/>
      <charset val="1"/>
    </font>
    <font>
      <b/>
      <sz val="10"/>
      <color rgb="FF2E6DA4"/>
      <name val="Arial"/>
      <charset val="1"/>
    </font>
    <font>
      <b/>
      <sz val="10"/>
      <color rgb="FF8E44AD"/>
      <name val="Arial"/>
      <charset val="1"/>
    </font>
    <font>
      <b/>
      <sz val="10"/>
      <color rgb="FF27AE60"/>
      <name val="Arial"/>
      <charset val="1"/>
    </font>
    <font>
      <b/>
      <sz val="11"/>
      <color rgb="FF27AE60"/>
      <name val="Arial"/>
      <charset val="1"/>
    </font>
    <font>
      <b/>
      <sz val="12"/>
      <color rgb="FF27AE60"/>
      <name val="Arial"/>
      <charset val="1"/>
    </font>
    <font>
      <sz val="9"/>
      <color rgb="FF000000"/>
      <name val="Arial"/>
      <charset val="1"/>
    </font>
    <font>
      <sz val="9"/>
      <color rgb="FF555555"/>
      <name val="Arial"/>
      <charset val="1"/>
    </font>
    <font>
      <b/>
      <sz val="10"/>
      <color rgb="FFE67E22"/>
      <name val="Arial"/>
      <charset val="1"/>
    </font>
    <font>
      <b/>
      <sz val="13"/>
      <color rgb="FF27AE60"/>
      <name val="Arial"/>
      <charset val="1"/>
    </font>
    <font>
      <b/>
      <sz val="11"/>
      <color rgb="FF1A3C5E"/>
      <name val="Arial"/>
      <charset val="1"/>
    </font>
    <font>
      <b/>
      <sz val="12"/>
      <color rgb="FF1A3C5E"/>
      <name val="Arial"/>
      <charset val="1"/>
    </font>
    <font>
      <i/>
      <sz val="9"/>
      <color rgb="FFBDC3C7"/>
      <name val="Arial"/>
      <charset val="1"/>
    </font>
    <font>
      <b/>
      <sz val="11"/>
      <color rgb="FFFFFFFF"/>
      <name val="Arial"/>
      <charset val="1"/>
    </font>
    <font>
      <sz val="9"/>
      <color rgb="FF1A3C5E"/>
      <name val="Arial"/>
      <charset val="1"/>
    </font>
    <font>
      <b/>
      <sz val="10"/>
      <color rgb="FF000000"/>
      <name val="Arial"/>
      <charset val="1"/>
    </font>
    <font>
      <b/>
      <sz val="14"/>
      <color rgb="FF27AE60"/>
      <name val="Arial"/>
      <charset val="1"/>
    </font>
    <font>
      <b/>
      <sz val="9"/>
      <color rgb="FF2E6DA4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5F6FA"/>
        <bgColor rgb="FFE8F0FE"/>
      </patternFill>
    </fill>
    <fill>
      <patternFill patternType="solid">
        <fgColor rgb="FFFFFFFF"/>
        <bgColor rgb="FFFFFDE7"/>
      </patternFill>
    </fill>
    <fill>
      <patternFill patternType="solid">
        <fgColor rgb="FFE67E22"/>
        <bgColor rgb="FFE74C3C"/>
      </patternFill>
    </fill>
    <fill>
      <patternFill patternType="solid">
        <fgColor rgb="FF8E44AD"/>
        <bgColor rgb="FFAB47BC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E67E22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E8F0FE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E3F2FD"/>
        <bgColor rgb="FFE8F0FE"/>
      </patternFill>
    </fill>
    <fill>
      <patternFill patternType="solid">
        <fgColor rgb="FFEDE7F6"/>
        <bgColor rgb="FFF3E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3E0"/>
      </patternFill>
    </fill>
    <fill>
      <patternFill patternType="solid">
        <fgColor rgb="FFD2E3FC"/>
        <bgColor rgb="FFD6E4F0"/>
      </patternFill>
    </fill>
    <fill>
      <patternFill patternType="solid">
        <fgColor rgb="FFFFECB3"/>
        <bgColor rgb="FFFFE0B2"/>
      </patternFill>
    </fill>
    <fill>
      <patternFill patternType="solid">
        <fgColor rgb="FFE1BEE7"/>
        <bgColor rgb="FFD1C4E9"/>
      </patternFill>
    </fill>
    <fill>
      <patternFill patternType="solid">
        <fgColor rgb="FFBBDEFB"/>
        <bgColor rgb="FFD2E3FC"/>
      </patternFill>
    </fill>
    <fill>
      <patternFill patternType="solid">
        <fgColor rgb="FFD1C4E9"/>
        <bgColor rgb="FFE1BEE7"/>
      </patternFill>
    </fill>
    <fill>
      <patternFill patternType="solid">
        <fgColor rgb="FFC8E6C9"/>
        <bgColor rgb="FFD6E4F0"/>
      </patternFill>
    </fill>
    <fill>
      <patternFill patternType="solid">
        <fgColor rgb="FFFFCDD2"/>
        <bgColor rgb="FFFFE0B2"/>
      </patternFill>
    </fill>
    <fill>
      <patternFill patternType="solid">
        <fgColor rgb="FFD6E4F0"/>
        <bgColor rgb="FFD2E3FC"/>
      </patternFill>
    </fill>
    <fill>
      <patternFill patternType="solid">
        <fgColor rgb="FFFFE0B2"/>
        <bgColor rgb="FFFFECB3"/>
      </patternFill>
    </fill>
    <fill>
      <patternFill patternType="solid">
        <fgColor rgb="FFFFFDE7"/>
        <bgColor rgb="FFFFF8E1"/>
      </patternFill>
    </fill>
  </fills>
  <borders count="11">
    <border>
      <left/>
      <right/>
      <top/>
      <bottom/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 style="medium">
        <color rgb="FF1A3C5E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 style="thin">
        <color rgb="FFFFCA28"/>
      </left>
      <right style="thin">
        <color rgb="FFFFCA28"/>
      </right>
      <top style="thin">
        <color rgb="FFFFCA28"/>
      </top>
      <bottom style="thin">
        <color rgb="FFFFCA28"/>
      </bottom>
      <diagonal/>
    </border>
    <border>
      <left style="thin">
        <color rgb="FFAB47BC"/>
      </left>
      <right style="thin">
        <color rgb="FFAB47BC"/>
      </right>
      <top style="thin">
        <color rgb="FFAB47BC"/>
      </top>
      <bottom style="thin">
        <color rgb="FFAB47BC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 style="medium">
        <color rgb="FF1A3C5E"/>
      </left>
      <right style="medium">
        <color rgb="FF1A3C5E"/>
      </right>
      <top style="medium">
        <color rgb="FF1A3C5E"/>
      </top>
      <bottom/>
      <diagonal/>
    </border>
    <border>
      <left style="medium">
        <color rgb="FF8E44AD"/>
      </left>
      <right style="medium">
        <color rgb="FF8E44AD"/>
      </right>
      <top style="medium">
        <color rgb="FF8E44AD"/>
      </top>
      <bottom style="medium">
        <color rgb="FF8E44AD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2" fillId="25" borderId="7" xfId="0" applyFont="1" applyFill="1" applyBorder="1" applyAlignment="1">
      <alignment horizontal="right" vertical="center"/>
    </xf>
    <xf numFmtId="0" fontId="4" fillId="2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0" fontId="17" fillId="16" borderId="6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left" vertical="center" wrapText="1" indent="1"/>
    </xf>
    <xf numFmtId="0" fontId="19" fillId="5" borderId="2" xfId="0" applyFont="1" applyFill="1" applyBorder="1" applyAlignment="1">
      <alignment horizontal="left" vertical="center" wrapText="1" indent="1"/>
    </xf>
    <xf numFmtId="0" fontId="10" fillId="4" borderId="2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0" fontId="12" fillId="20" borderId="5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6" fillId="23" borderId="6" xfId="0" applyFont="1" applyFill="1" applyBorder="1" applyAlignment="1">
      <alignment horizontal="center" vertical="center"/>
    </xf>
    <xf numFmtId="0" fontId="17" fillId="23" borderId="6" xfId="0" applyFont="1" applyFill="1" applyBorder="1" applyAlignment="1">
      <alignment horizontal="center" vertical="center"/>
    </xf>
    <xf numFmtId="0" fontId="18" fillId="24" borderId="2" xfId="0" applyFont="1" applyFill="1" applyBorder="1" applyAlignment="1">
      <alignment horizontal="left" vertical="center" wrapText="1" indent="1"/>
    </xf>
    <xf numFmtId="0" fontId="19" fillId="4" borderId="2" xfId="0" applyFont="1" applyFill="1" applyBorder="1" applyAlignment="1">
      <alignment horizontal="left" vertical="center" wrapText="1" indent="1"/>
    </xf>
    <xf numFmtId="0" fontId="4" fillId="12" borderId="3" xfId="0" applyFont="1" applyFill="1" applyBorder="1" applyAlignment="1">
      <alignment horizontal="left" vertical="center" indent="1"/>
    </xf>
    <xf numFmtId="0" fontId="13" fillId="5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21" fillId="16" borderId="6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left" vertical="center" indent="1"/>
    </xf>
    <xf numFmtId="0" fontId="13" fillId="4" borderId="2" xfId="0" applyFont="1" applyFill="1" applyBorder="1" applyAlignment="1">
      <alignment horizontal="center" vertical="center"/>
    </xf>
    <xf numFmtId="0" fontId="20" fillId="26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/>
    </xf>
    <xf numFmtId="0" fontId="21" fillId="23" borderId="6" xfId="0" applyFont="1" applyFill="1" applyBorder="1" applyAlignment="1">
      <alignment horizontal="center" vertical="center"/>
    </xf>
    <xf numFmtId="14" fontId="23" fillId="27" borderId="8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 indent="1"/>
    </xf>
    <xf numFmtId="0" fontId="27" fillId="4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 indent="1"/>
    </xf>
    <xf numFmtId="0" fontId="22" fillId="12" borderId="3" xfId="0" applyFont="1" applyFill="1" applyBorder="1" applyAlignment="1">
      <alignment horizontal="left" vertical="center" indent="1"/>
    </xf>
    <xf numFmtId="0" fontId="17" fillId="16" borderId="2" xfId="0" applyFont="1" applyFill="1" applyBorder="1" applyAlignment="1">
      <alignment horizontal="center" vertical="center"/>
    </xf>
    <xf numFmtId="0" fontId="28" fillId="16" borderId="6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22" fillId="18" borderId="3" xfId="0" applyFont="1" applyFill="1" applyBorder="1" applyAlignment="1">
      <alignment horizontal="left" vertical="center" indent="1"/>
    </xf>
    <xf numFmtId="0" fontId="17" fillId="23" borderId="2" xfId="0" applyFont="1" applyFill="1" applyBorder="1" applyAlignment="1">
      <alignment horizontal="center" vertical="center"/>
    </xf>
    <xf numFmtId="0" fontId="28" fillId="23" borderId="6" xfId="0" applyFont="1" applyFill="1" applyBorder="1" applyAlignment="1">
      <alignment horizontal="center" vertical="center"/>
    </xf>
    <xf numFmtId="0" fontId="14" fillId="22" borderId="10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indent="1"/>
    </xf>
    <xf numFmtId="0" fontId="25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F5F6FA"/>
      <rgbColor rgb="FF800000"/>
      <rgbColor rgb="FF008000"/>
      <rgbColor rgb="FF000080"/>
      <rgbColor rgb="FF808000"/>
      <rgbColor rgb="FF800080"/>
      <rgbColor rgb="FF008080"/>
      <rgbColor rgb="FFBDC3C7"/>
      <rgbColor rgb="FFFFEBEE"/>
      <rgbColor rgb="FFD2E3FC"/>
      <rgbColor rgb="FF8E44AD"/>
      <rgbColor rgb="FFFFF8E1"/>
      <rgbColor rgb="FFE3F2FD"/>
      <rgbColor rgb="FF660066"/>
      <rgbColor rgb="FFE74C3C"/>
      <rgbColor rgb="FF2E6DA4"/>
      <rgbColor rgb="FFD1C4E9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CB3"/>
      <rgbColor rgb="FFBBDEFB"/>
      <rgbColor rgb="FFFFCDD2"/>
      <rgbColor rgb="FFE1BEE7"/>
      <rgbColor rgb="FFFFE0B2"/>
      <rgbColor rgb="FF3366FF"/>
      <rgbColor rgb="FFE8F0FE"/>
      <rgbColor rgb="FFEDE7F6"/>
      <rgbColor rgb="FFFFCA28"/>
      <rgbColor rgb="FFF3E5F5"/>
      <rgbColor rgb="FFE67E22"/>
      <rgbColor rgb="FF555555"/>
      <rgbColor rgb="FFD6E4F0"/>
      <rgbColor rgb="FF1A3C5E"/>
      <rgbColor rgb="FF27AE60"/>
      <rgbColor rgb="FF003300"/>
      <rgbColor rgb="FF333300"/>
      <rgbColor rgb="FF993300"/>
      <rgbColor rgb="FFAB47B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5E"/>
  </sheetPr>
  <dimension ref="A1:F24"/>
  <sheetViews>
    <sheetView showGridLines="0" tabSelected="1" zoomScaleNormal="100" workbookViewId="0">
      <selection activeCell="I10" sqref="I10"/>
    </sheetView>
  </sheetViews>
  <sheetFormatPr baseColWidth="10" defaultColWidth="8.7109375" defaultRowHeight="15" x14ac:dyDescent="0.25"/>
  <cols>
    <col min="1" max="1" width="6" customWidth="1"/>
    <col min="2" max="3" width="24" customWidth="1"/>
    <col min="4" max="5" width="16" customWidth="1"/>
    <col min="6" max="6" width="4" customWidth="1"/>
  </cols>
  <sheetData>
    <row r="1" spans="1:6" ht="36" customHeight="1" x14ac:dyDescent="0.25">
      <c r="A1" s="4" t="s">
        <v>0</v>
      </c>
      <c r="B1" s="4"/>
      <c r="C1" s="4"/>
      <c r="D1" s="4"/>
      <c r="E1" s="4"/>
      <c r="F1" s="4"/>
    </row>
    <row r="2" spans="1:6" ht="7.5" customHeight="1" x14ac:dyDescent="0.25"/>
    <row r="3" spans="1:6" ht="21.75" customHeight="1" x14ac:dyDescent="0.25">
      <c r="A3" s="3" t="s">
        <v>1</v>
      </c>
      <c r="B3" s="3"/>
      <c r="C3" s="3"/>
      <c r="D3" s="3"/>
      <c r="E3" s="3"/>
      <c r="F3" s="3"/>
    </row>
    <row r="4" spans="1:6" ht="36" customHeight="1" x14ac:dyDescent="0.25">
      <c r="B4" s="15" t="s">
        <v>2</v>
      </c>
      <c r="C4" s="15" t="s">
        <v>3</v>
      </c>
      <c r="D4" s="15" t="s">
        <v>4</v>
      </c>
      <c r="E4" s="15" t="s">
        <v>5</v>
      </c>
    </row>
    <row r="5" spans="1:6" ht="21.75" customHeight="1" x14ac:dyDescent="0.25">
      <c r="B5" s="16" t="s">
        <v>6</v>
      </c>
      <c r="C5" s="17"/>
      <c r="D5" s="17"/>
      <c r="E5" s="17"/>
    </row>
    <row r="6" spans="1:6" ht="21.75" customHeight="1" x14ac:dyDescent="0.25">
      <c r="B6" s="18" t="s">
        <v>7</v>
      </c>
      <c r="C6" s="19"/>
      <c r="D6" s="19"/>
      <c r="E6" s="19"/>
    </row>
    <row r="7" spans="1:6" ht="21.75" customHeight="1" x14ac:dyDescent="0.25">
      <c r="B7" s="16" t="s">
        <v>8</v>
      </c>
      <c r="C7" s="17"/>
      <c r="D7" s="17"/>
      <c r="E7" s="17"/>
    </row>
    <row r="8" spans="1:6" ht="21.75" customHeight="1" x14ac:dyDescent="0.25">
      <c r="B8" s="18" t="s">
        <v>9</v>
      </c>
      <c r="C8" s="19"/>
      <c r="D8" s="19"/>
      <c r="E8" s="19"/>
    </row>
    <row r="9" spans="1:6" ht="21.75" customHeight="1" x14ac:dyDescent="0.25">
      <c r="B9" s="16" t="s">
        <v>10</v>
      </c>
      <c r="C9" s="17"/>
      <c r="D9" s="17"/>
      <c r="E9" s="17"/>
    </row>
    <row r="10" spans="1:6" ht="21.75" customHeight="1" x14ac:dyDescent="0.25">
      <c r="B10" s="18"/>
      <c r="C10" s="19"/>
      <c r="D10" s="19"/>
      <c r="E10" s="19"/>
    </row>
    <row r="11" spans="1:6" ht="21.75" customHeight="1" x14ac:dyDescent="0.25">
      <c r="B11" s="16"/>
      <c r="C11" s="17"/>
      <c r="D11" s="17"/>
      <c r="E11" s="17"/>
    </row>
    <row r="12" spans="1:6" ht="21.75" customHeight="1" x14ac:dyDescent="0.25">
      <c r="B12" s="18"/>
      <c r="C12" s="19"/>
      <c r="D12" s="19"/>
      <c r="E12" s="19"/>
    </row>
    <row r="13" spans="1:6" ht="21.75" customHeight="1" x14ac:dyDescent="0.25">
      <c r="B13" s="16"/>
      <c r="C13" s="17"/>
      <c r="D13" s="17"/>
      <c r="E13" s="17"/>
    </row>
    <row r="14" spans="1:6" ht="21.75" customHeight="1" x14ac:dyDescent="0.25">
      <c r="B14" s="18"/>
      <c r="C14" s="19"/>
      <c r="D14" s="19"/>
      <c r="E14" s="19"/>
    </row>
    <row r="15" spans="1:6" ht="21.75" customHeight="1" x14ac:dyDescent="0.25">
      <c r="B15" s="16"/>
      <c r="C15" s="17"/>
      <c r="D15" s="17"/>
      <c r="E15" s="17"/>
    </row>
    <row r="16" spans="1:6" ht="21.75" customHeight="1" x14ac:dyDescent="0.25">
      <c r="B16" s="18"/>
      <c r="C16" s="19"/>
      <c r="D16" s="19"/>
      <c r="E16" s="19"/>
    </row>
    <row r="17" spans="2:5" ht="21.75" customHeight="1" x14ac:dyDescent="0.25">
      <c r="B17" s="16"/>
      <c r="C17" s="17"/>
      <c r="D17" s="17"/>
      <c r="E17" s="17"/>
    </row>
    <row r="18" spans="2:5" ht="21.75" customHeight="1" x14ac:dyDescent="0.25">
      <c r="B18" s="18"/>
      <c r="C18" s="19"/>
      <c r="D18" s="19"/>
      <c r="E18" s="19"/>
    </row>
    <row r="19" spans="2:5" ht="21.75" customHeight="1" x14ac:dyDescent="0.25">
      <c r="B19" s="16"/>
      <c r="C19" s="17"/>
      <c r="D19" s="17"/>
      <c r="E19" s="17"/>
    </row>
    <row r="20" spans="2:5" ht="21.75" customHeight="1" x14ac:dyDescent="0.25">
      <c r="B20" s="18"/>
      <c r="C20" s="19"/>
      <c r="D20" s="19"/>
      <c r="E20" s="19"/>
    </row>
    <row r="21" spans="2:5" ht="21.75" customHeight="1" x14ac:dyDescent="0.25">
      <c r="B21" s="16"/>
      <c r="C21" s="17"/>
      <c r="D21" s="17"/>
      <c r="E21" s="17"/>
    </row>
    <row r="22" spans="2:5" ht="21.75" customHeight="1" x14ac:dyDescent="0.25">
      <c r="B22" s="18"/>
      <c r="C22" s="19"/>
      <c r="D22" s="19"/>
      <c r="E22" s="19"/>
    </row>
    <row r="23" spans="2:5" ht="21.75" customHeight="1" x14ac:dyDescent="0.25">
      <c r="B23" s="16"/>
      <c r="C23" s="17"/>
      <c r="D23" s="17"/>
      <c r="E23" s="17"/>
    </row>
    <row r="24" spans="2:5" ht="21.75" customHeight="1" x14ac:dyDescent="0.25">
      <c r="B24" s="18"/>
      <c r="C24" s="19"/>
      <c r="D24" s="19"/>
      <c r="E24" s="19"/>
    </row>
  </sheetData>
  <mergeCells count="2"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AH56"/>
  <sheetViews>
    <sheetView showGridLines="0" zoomScale="90" zoomScaleNormal="90" workbookViewId="0">
      <pane ySplit="6" topLeftCell="A7" activePane="bottomLeft" state="frozen"/>
      <selection pane="bottomLeft" sqref="A1:AH1"/>
    </sheetView>
  </sheetViews>
  <sheetFormatPr baseColWidth="10" defaultColWidth="8.7109375" defaultRowHeight="15" x14ac:dyDescent="0.25"/>
  <cols>
    <col min="1" max="1" width="5" customWidth="1"/>
    <col min="2" max="2" width="13" customWidth="1"/>
    <col min="3" max="3" width="14" customWidth="1"/>
    <col min="4" max="4" width="16" customWidth="1"/>
    <col min="5" max="5" width="14" customWidth="1"/>
    <col min="6" max="27" width="7" customWidth="1"/>
    <col min="28" max="31" width="11" customWidth="1"/>
    <col min="32" max="32" width="10" customWidth="1"/>
    <col min="33" max="33" width="40" customWidth="1"/>
    <col min="34" max="34" width="30" customWidth="1"/>
  </cols>
  <sheetData>
    <row r="1" spans="1:34" ht="33.75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9.5" customHeight="1" x14ac:dyDescent="0.25">
      <c r="A2" s="13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ht="19.5" customHeight="1" x14ac:dyDescent="0.25">
      <c r="A3" s="12" t="s">
        <v>13</v>
      </c>
      <c r="B3" s="12"/>
      <c r="C3" s="12"/>
      <c r="D3" s="12"/>
      <c r="E3" s="12"/>
      <c r="F3" s="11" t="s">
        <v>14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 t="s">
        <v>15</v>
      </c>
      <c r="S3" s="10"/>
      <c r="T3" s="10"/>
      <c r="U3" s="10"/>
      <c r="V3" s="10"/>
      <c r="W3" s="10"/>
      <c r="X3" s="10"/>
      <c r="Y3" s="10"/>
      <c r="Z3" s="10"/>
      <c r="AA3" s="10"/>
      <c r="AB3" s="9" t="s">
        <v>16</v>
      </c>
      <c r="AC3" s="9"/>
      <c r="AD3" s="9"/>
      <c r="AE3" s="8" t="s">
        <v>17</v>
      </c>
      <c r="AF3" s="8"/>
      <c r="AG3" s="7" t="s">
        <v>18</v>
      </c>
      <c r="AH3" s="7"/>
    </row>
    <row r="4" spans="1:34" ht="18" customHeight="1" x14ac:dyDescent="0.25">
      <c r="F4" s="6" t="s">
        <v>19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5" t="s">
        <v>19</v>
      </c>
      <c r="S4" s="5"/>
      <c r="T4" s="5"/>
      <c r="U4" s="5"/>
      <c r="V4" s="5"/>
      <c r="W4" s="5"/>
      <c r="X4" s="5"/>
      <c r="Y4" s="5"/>
      <c r="Z4" s="5"/>
      <c r="AA4" s="5"/>
    </row>
    <row r="5" spans="1:34" ht="36" customHeight="1" x14ac:dyDescent="0.25">
      <c r="A5" s="15" t="s">
        <v>20</v>
      </c>
      <c r="B5" s="15" t="s">
        <v>21</v>
      </c>
      <c r="C5" s="15" t="s">
        <v>22</v>
      </c>
      <c r="D5" s="15" t="s">
        <v>23</v>
      </c>
      <c r="E5" s="15" t="s">
        <v>24</v>
      </c>
      <c r="F5" s="20" t="s">
        <v>25</v>
      </c>
      <c r="G5" s="20" t="s">
        <v>26</v>
      </c>
      <c r="H5" s="20" t="s">
        <v>27</v>
      </c>
      <c r="I5" s="20" t="s">
        <v>28</v>
      </c>
      <c r="J5" s="20" t="s">
        <v>29</v>
      </c>
      <c r="K5" s="20" t="s">
        <v>30</v>
      </c>
      <c r="L5" s="20" t="s">
        <v>31</v>
      </c>
      <c r="M5" s="20" t="s">
        <v>32</v>
      </c>
      <c r="N5" s="20" t="s">
        <v>33</v>
      </c>
      <c r="O5" s="20" t="s">
        <v>34</v>
      </c>
      <c r="P5" s="20" t="s">
        <v>35</v>
      </c>
      <c r="Q5" s="20" t="s">
        <v>36</v>
      </c>
      <c r="R5" s="21" t="s">
        <v>37</v>
      </c>
      <c r="S5" s="21" t="s">
        <v>38</v>
      </c>
      <c r="T5" s="21" t="s">
        <v>39</v>
      </c>
      <c r="U5" s="21" t="s">
        <v>40</v>
      </c>
      <c r="V5" s="21" t="s">
        <v>41</v>
      </c>
      <c r="W5" s="21" t="s">
        <v>42</v>
      </c>
      <c r="X5" s="21" t="s">
        <v>43</v>
      </c>
      <c r="Y5" s="21" t="s">
        <v>44</v>
      </c>
      <c r="Z5" s="21" t="s">
        <v>45</v>
      </c>
      <c r="AA5" s="21" t="s">
        <v>46</v>
      </c>
      <c r="AB5" s="22" t="s">
        <v>47</v>
      </c>
      <c r="AC5" s="22" t="s">
        <v>48</v>
      </c>
      <c r="AD5" s="22" t="s">
        <v>49</v>
      </c>
      <c r="AE5" s="23" t="s">
        <v>50</v>
      </c>
      <c r="AF5" s="23" t="s">
        <v>51</v>
      </c>
      <c r="AG5" s="24" t="s">
        <v>52</v>
      </c>
      <c r="AH5" s="15" t="s">
        <v>53</v>
      </c>
    </row>
    <row r="6" spans="1:34" ht="6" customHeight="1" x14ac:dyDescent="0.25"/>
    <row r="7" spans="1:34" ht="21.75" customHeight="1" x14ac:dyDescent="0.25">
      <c r="A7" s="25">
        <v>1</v>
      </c>
      <c r="B7" s="26"/>
      <c r="C7" s="27"/>
      <c r="D7" s="19"/>
      <c r="E7" s="19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9"/>
      <c r="T7" s="29"/>
      <c r="U7" s="29"/>
      <c r="V7" s="29"/>
      <c r="W7" s="29"/>
      <c r="X7" s="29"/>
      <c r="Y7" s="29"/>
      <c r="Z7" s="29"/>
      <c r="AA7" s="29"/>
      <c r="AB7" s="30" t="str">
        <f t="shared" ref="AB7:AB38" si="0">IF(COUNTA(F7:Q7)=0,"",SUM(F7:Q7))</f>
        <v/>
      </c>
      <c r="AC7" s="31" t="str">
        <f t="shared" ref="AC7:AC38" si="1">IF(COUNTA(R7:AA7)=0,"",SUM(R7:AA7))</f>
        <v/>
      </c>
      <c r="AD7" s="32" t="str">
        <f t="shared" ref="AD7:AD38" si="2">IF(AB7="","",IFERROR(AB7+AC7,AB7))</f>
        <v/>
      </c>
      <c r="AE7" s="33" t="str">
        <f t="shared" ref="AE7:AE38" si="3">IF(AD7="","",ROUND(AD7/110*100,1))</f>
        <v/>
      </c>
      <c r="AF7" s="34" t="str">
        <f t="shared" ref="AF7:AF38" si="4">IF(AE7="","",IF(AE7&gt;=85,"A",IF(AE7&gt;=70,"B",IF(AE7&gt;=50,"C","D"))))</f>
        <v/>
      </c>
      <c r="AG7" s="35" t="str">
        <f t="shared" ref="AG7:AG38" si="5">IF(AE7="","⏳ Saisir les notes...",IF(AF7="A","🏆 EXCELLENT – "&amp;C7&amp;" maîtrise parfaitement. Score "&amp;ROUND(AE7,1)&amp;"/100. Aucune action.",IF(AF7="B","✅ BON NIVEAU – "&amp;C7&amp;". Score "&amp;ROUND(AE7,1)&amp;"/100. Suivi régulier conseillé.",IF(AF7="C","⚠️ PASSABLE – "&amp;C7&amp;". Score "&amp;ROUND(AE7,1)&amp;"/100. Formation recommandée sous 30 jours.","🚨 INSUFFISANT – "&amp;C7&amp;". Score "&amp;ROUND(AE7,1)&amp;"/100. Action corrective URGENTE."))))</f>
        <v>⏳ Saisir les notes...</v>
      </c>
      <c r="AH7" s="36"/>
    </row>
    <row r="8" spans="1:34" ht="21.75" customHeight="1" x14ac:dyDescent="0.25">
      <c r="A8" s="37">
        <v>2</v>
      </c>
      <c r="B8" s="38"/>
      <c r="C8" s="39"/>
      <c r="D8" s="17"/>
      <c r="E8" s="17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1"/>
      <c r="S8" s="41"/>
      <c r="T8" s="41"/>
      <c r="U8" s="41"/>
      <c r="V8" s="41"/>
      <c r="W8" s="41"/>
      <c r="X8" s="41"/>
      <c r="Y8" s="41"/>
      <c r="Z8" s="41"/>
      <c r="AA8" s="41"/>
      <c r="AB8" s="42" t="str">
        <f t="shared" si="0"/>
        <v/>
      </c>
      <c r="AC8" s="43" t="str">
        <f t="shared" si="1"/>
        <v/>
      </c>
      <c r="AD8" s="44" t="str">
        <f t="shared" si="2"/>
        <v/>
      </c>
      <c r="AE8" s="45" t="str">
        <f t="shared" si="3"/>
        <v/>
      </c>
      <c r="AF8" s="46" t="str">
        <f t="shared" si="4"/>
        <v/>
      </c>
      <c r="AG8" s="47" t="str">
        <f t="shared" si="5"/>
        <v>⏳ Saisir les notes...</v>
      </c>
      <c r="AH8" s="48"/>
    </row>
    <row r="9" spans="1:34" ht="21.75" customHeight="1" x14ac:dyDescent="0.25">
      <c r="A9" s="25">
        <v>3</v>
      </c>
      <c r="B9" s="26"/>
      <c r="C9" s="27"/>
      <c r="D9" s="19"/>
      <c r="E9" s="19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29"/>
      <c r="T9" s="29"/>
      <c r="U9" s="29"/>
      <c r="V9" s="29"/>
      <c r="W9" s="29"/>
      <c r="X9" s="29"/>
      <c r="Y9" s="29"/>
      <c r="Z9" s="29"/>
      <c r="AA9" s="29"/>
      <c r="AB9" s="30" t="str">
        <f t="shared" si="0"/>
        <v/>
      </c>
      <c r="AC9" s="31" t="str">
        <f t="shared" si="1"/>
        <v/>
      </c>
      <c r="AD9" s="32" t="str">
        <f t="shared" si="2"/>
        <v/>
      </c>
      <c r="AE9" s="33" t="str">
        <f t="shared" si="3"/>
        <v/>
      </c>
      <c r="AF9" s="34" t="str">
        <f t="shared" si="4"/>
        <v/>
      </c>
      <c r="AG9" s="35" t="str">
        <f t="shared" si="5"/>
        <v>⏳ Saisir les notes...</v>
      </c>
      <c r="AH9" s="36"/>
    </row>
    <row r="10" spans="1:34" ht="21.75" customHeight="1" x14ac:dyDescent="0.25">
      <c r="A10" s="37">
        <v>4</v>
      </c>
      <c r="B10" s="38"/>
      <c r="C10" s="39"/>
      <c r="D10" s="17"/>
      <c r="E10" s="17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 t="str">
        <f t="shared" si="0"/>
        <v/>
      </c>
      <c r="AC10" s="43" t="str">
        <f t="shared" si="1"/>
        <v/>
      </c>
      <c r="AD10" s="44" t="str">
        <f t="shared" si="2"/>
        <v/>
      </c>
      <c r="AE10" s="45" t="str">
        <f t="shared" si="3"/>
        <v/>
      </c>
      <c r="AF10" s="46" t="str">
        <f t="shared" si="4"/>
        <v/>
      </c>
      <c r="AG10" s="47" t="str">
        <f t="shared" si="5"/>
        <v>⏳ Saisir les notes...</v>
      </c>
      <c r="AH10" s="48"/>
    </row>
    <row r="11" spans="1:34" ht="21.75" customHeight="1" x14ac:dyDescent="0.25">
      <c r="A11" s="25">
        <v>5</v>
      </c>
      <c r="B11" s="26"/>
      <c r="C11" s="27"/>
      <c r="D11" s="19"/>
      <c r="E11" s="1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30" t="str">
        <f t="shared" si="0"/>
        <v/>
      </c>
      <c r="AC11" s="31" t="str">
        <f t="shared" si="1"/>
        <v/>
      </c>
      <c r="AD11" s="32" t="str">
        <f t="shared" si="2"/>
        <v/>
      </c>
      <c r="AE11" s="33" t="str">
        <f t="shared" si="3"/>
        <v/>
      </c>
      <c r="AF11" s="34" t="str">
        <f t="shared" si="4"/>
        <v/>
      </c>
      <c r="AG11" s="35" t="str">
        <f t="shared" si="5"/>
        <v>⏳ Saisir les notes...</v>
      </c>
      <c r="AH11" s="36"/>
    </row>
    <row r="12" spans="1:34" ht="21.75" customHeight="1" x14ac:dyDescent="0.25">
      <c r="A12" s="37">
        <v>6</v>
      </c>
      <c r="B12" s="38"/>
      <c r="C12" s="39"/>
      <c r="D12" s="17"/>
      <c r="E12" s="17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2" t="str">
        <f t="shared" si="0"/>
        <v/>
      </c>
      <c r="AC12" s="43" t="str">
        <f t="shared" si="1"/>
        <v/>
      </c>
      <c r="AD12" s="44" t="str">
        <f t="shared" si="2"/>
        <v/>
      </c>
      <c r="AE12" s="45" t="str">
        <f t="shared" si="3"/>
        <v/>
      </c>
      <c r="AF12" s="46" t="str">
        <f t="shared" si="4"/>
        <v/>
      </c>
      <c r="AG12" s="47" t="str">
        <f t="shared" si="5"/>
        <v>⏳ Saisir les notes...</v>
      </c>
      <c r="AH12" s="48"/>
    </row>
    <row r="13" spans="1:34" ht="21.75" customHeight="1" x14ac:dyDescent="0.25">
      <c r="A13" s="25">
        <v>7</v>
      </c>
      <c r="B13" s="26"/>
      <c r="C13" s="27"/>
      <c r="D13" s="19"/>
      <c r="E13" s="1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30" t="str">
        <f t="shared" si="0"/>
        <v/>
      </c>
      <c r="AC13" s="31" t="str">
        <f t="shared" si="1"/>
        <v/>
      </c>
      <c r="AD13" s="32" t="str">
        <f t="shared" si="2"/>
        <v/>
      </c>
      <c r="AE13" s="33" t="str">
        <f t="shared" si="3"/>
        <v/>
      </c>
      <c r="AF13" s="34" t="str">
        <f t="shared" si="4"/>
        <v/>
      </c>
      <c r="AG13" s="35" t="str">
        <f t="shared" si="5"/>
        <v>⏳ Saisir les notes...</v>
      </c>
      <c r="AH13" s="36"/>
    </row>
    <row r="14" spans="1:34" ht="21.75" customHeight="1" x14ac:dyDescent="0.25">
      <c r="A14" s="37">
        <v>8</v>
      </c>
      <c r="B14" s="38"/>
      <c r="C14" s="39"/>
      <c r="D14" s="17"/>
      <c r="E14" s="17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2" t="str">
        <f t="shared" si="0"/>
        <v/>
      </c>
      <c r="AC14" s="43" t="str">
        <f t="shared" si="1"/>
        <v/>
      </c>
      <c r="AD14" s="44" t="str">
        <f t="shared" si="2"/>
        <v/>
      </c>
      <c r="AE14" s="45" t="str">
        <f t="shared" si="3"/>
        <v/>
      </c>
      <c r="AF14" s="46" t="str">
        <f t="shared" si="4"/>
        <v/>
      </c>
      <c r="AG14" s="47" t="str">
        <f t="shared" si="5"/>
        <v>⏳ Saisir les notes...</v>
      </c>
      <c r="AH14" s="48"/>
    </row>
    <row r="15" spans="1:34" ht="21.75" customHeight="1" x14ac:dyDescent="0.25">
      <c r="A15" s="25">
        <v>9</v>
      </c>
      <c r="B15" s="26"/>
      <c r="C15" s="27"/>
      <c r="D15" s="19"/>
      <c r="E15" s="1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30" t="str">
        <f t="shared" si="0"/>
        <v/>
      </c>
      <c r="AC15" s="31" t="str">
        <f t="shared" si="1"/>
        <v/>
      </c>
      <c r="AD15" s="32" t="str">
        <f t="shared" si="2"/>
        <v/>
      </c>
      <c r="AE15" s="33" t="str">
        <f t="shared" si="3"/>
        <v/>
      </c>
      <c r="AF15" s="34" t="str">
        <f t="shared" si="4"/>
        <v/>
      </c>
      <c r="AG15" s="35" t="str">
        <f t="shared" si="5"/>
        <v>⏳ Saisir les notes...</v>
      </c>
      <c r="AH15" s="36"/>
    </row>
    <row r="16" spans="1:34" ht="21.75" customHeight="1" x14ac:dyDescent="0.25">
      <c r="A16" s="37">
        <v>10</v>
      </c>
      <c r="B16" s="38"/>
      <c r="C16" s="39"/>
      <c r="D16" s="17"/>
      <c r="E16" s="17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2" t="str">
        <f t="shared" si="0"/>
        <v/>
      </c>
      <c r="AC16" s="43" t="str">
        <f t="shared" si="1"/>
        <v/>
      </c>
      <c r="AD16" s="44" t="str">
        <f t="shared" si="2"/>
        <v/>
      </c>
      <c r="AE16" s="45" t="str">
        <f t="shared" si="3"/>
        <v/>
      </c>
      <c r="AF16" s="46" t="str">
        <f t="shared" si="4"/>
        <v/>
      </c>
      <c r="AG16" s="47" t="str">
        <f t="shared" si="5"/>
        <v>⏳ Saisir les notes...</v>
      </c>
      <c r="AH16" s="48"/>
    </row>
    <row r="17" spans="1:34" ht="21.75" customHeight="1" x14ac:dyDescent="0.25">
      <c r="A17" s="25">
        <v>11</v>
      </c>
      <c r="B17" s="26"/>
      <c r="C17" s="27"/>
      <c r="D17" s="19"/>
      <c r="E17" s="19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30" t="str">
        <f t="shared" si="0"/>
        <v/>
      </c>
      <c r="AC17" s="31" t="str">
        <f t="shared" si="1"/>
        <v/>
      </c>
      <c r="AD17" s="32" t="str">
        <f t="shared" si="2"/>
        <v/>
      </c>
      <c r="AE17" s="33" t="str">
        <f t="shared" si="3"/>
        <v/>
      </c>
      <c r="AF17" s="34" t="str">
        <f t="shared" si="4"/>
        <v/>
      </c>
      <c r="AG17" s="35" t="str">
        <f t="shared" si="5"/>
        <v>⏳ Saisir les notes...</v>
      </c>
      <c r="AH17" s="36"/>
    </row>
    <row r="18" spans="1:34" ht="21.75" customHeight="1" x14ac:dyDescent="0.25">
      <c r="A18" s="37">
        <v>12</v>
      </c>
      <c r="B18" s="38"/>
      <c r="C18" s="39"/>
      <c r="D18" s="17"/>
      <c r="E18" s="17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 t="str">
        <f t="shared" si="0"/>
        <v/>
      </c>
      <c r="AC18" s="43" t="str">
        <f t="shared" si="1"/>
        <v/>
      </c>
      <c r="AD18" s="44" t="str">
        <f t="shared" si="2"/>
        <v/>
      </c>
      <c r="AE18" s="45" t="str">
        <f t="shared" si="3"/>
        <v/>
      </c>
      <c r="AF18" s="46" t="str">
        <f t="shared" si="4"/>
        <v/>
      </c>
      <c r="AG18" s="47" t="str">
        <f t="shared" si="5"/>
        <v>⏳ Saisir les notes...</v>
      </c>
      <c r="AH18" s="48"/>
    </row>
    <row r="19" spans="1:34" ht="21.75" customHeight="1" x14ac:dyDescent="0.25">
      <c r="A19" s="25">
        <v>13</v>
      </c>
      <c r="B19" s="26"/>
      <c r="C19" s="27"/>
      <c r="D19" s="19"/>
      <c r="E19" s="19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30" t="str">
        <f t="shared" si="0"/>
        <v/>
      </c>
      <c r="AC19" s="31" t="str">
        <f t="shared" si="1"/>
        <v/>
      </c>
      <c r="AD19" s="32" t="str">
        <f t="shared" si="2"/>
        <v/>
      </c>
      <c r="AE19" s="33" t="str">
        <f t="shared" si="3"/>
        <v/>
      </c>
      <c r="AF19" s="34" t="str">
        <f t="shared" si="4"/>
        <v/>
      </c>
      <c r="AG19" s="35" t="str">
        <f t="shared" si="5"/>
        <v>⏳ Saisir les notes...</v>
      </c>
      <c r="AH19" s="36"/>
    </row>
    <row r="20" spans="1:34" ht="21.75" customHeight="1" x14ac:dyDescent="0.25">
      <c r="A20" s="37">
        <v>14</v>
      </c>
      <c r="B20" s="38"/>
      <c r="C20" s="39"/>
      <c r="D20" s="17"/>
      <c r="E20" s="17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2" t="str">
        <f t="shared" si="0"/>
        <v/>
      </c>
      <c r="AC20" s="43" t="str">
        <f t="shared" si="1"/>
        <v/>
      </c>
      <c r="AD20" s="44" t="str">
        <f t="shared" si="2"/>
        <v/>
      </c>
      <c r="AE20" s="45" t="str">
        <f t="shared" si="3"/>
        <v/>
      </c>
      <c r="AF20" s="46" t="str">
        <f t="shared" si="4"/>
        <v/>
      </c>
      <c r="AG20" s="47" t="str">
        <f t="shared" si="5"/>
        <v>⏳ Saisir les notes...</v>
      </c>
      <c r="AH20" s="48"/>
    </row>
    <row r="21" spans="1:34" ht="21.75" customHeight="1" x14ac:dyDescent="0.25">
      <c r="A21" s="25">
        <v>15</v>
      </c>
      <c r="B21" s="26"/>
      <c r="C21" s="27"/>
      <c r="D21" s="19"/>
      <c r="E21" s="19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30" t="str">
        <f t="shared" si="0"/>
        <v/>
      </c>
      <c r="AC21" s="31" t="str">
        <f t="shared" si="1"/>
        <v/>
      </c>
      <c r="AD21" s="32" t="str">
        <f t="shared" si="2"/>
        <v/>
      </c>
      <c r="AE21" s="33" t="str">
        <f t="shared" si="3"/>
        <v/>
      </c>
      <c r="AF21" s="34" t="str">
        <f t="shared" si="4"/>
        <v/>
      </c>
      <c r="AG21" s="35" t="str">
        <f t="shared" si="5"/>
        <v>⏳ Saisir les notes...</v>
      </c>
      <c r="AH21" s="36"/>
    </row>
    <row r="22" spans="1:34" ht="21.75" customHeight="1" x14ac:dyDescent="0.25">
      <c r="A22" s="37">
        <v>16</v>
      </c>
      <c r="B22" s="38"/>
      <c r="C22" s="39"/>
      <c r="D22" s="17"/>
      <c r="E22" s="17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2" t="str">
        <f t="shared" si="0"/>
        <v/>
      </c>
      <c r="AC22" s="43" t="str">
        <f t="shared" si="1"/>
        <v/>
      </c>
      <c r="AD22" s="44" t="str">
        <f t="shared" si="2"/>
        <v/>
      </c>
      <c r="AE22" s="45" t="str">
        <f t="shared" si="3"/>
        <v/>
      </c>
      <c r="AF22" s="46" t="str">
        <f t="shared" si="4"/>
        <v/>
      </c>
      <c r="AG22" s="47" t="str">
        <f t="shared" si="5"/>
        <v>⏳ Saisir les notes...</v>
      </c>
      <c r="AH22" s="48"/>
    </row>
    <row r="23" spans="1:34" ht="21.75" customHeight="1" x14ac:dyDescent="0.25">
      <c r="A23" s="25">
        <v>17</v>
      </c>
      <c r="B23" s="26"/>
      <c r="C23" s="27"/>
      <c r="D23" s="19"/>
      <c r="E23" s="19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30" t="str">
        <f t="shared" si="0"/>
        <v/>
      </c>
      <c r="AC23" s="31" t="str">
        <f t="shared" si="1"/>
        <v/>
      </c>
      <c r="AD23" s="32" t="str">
        <f t="shared" si="2"/>
        <v/>
      </c>
      <c r="AE23" s="33" t="str">
        <f t="shared" si="3"/>
        <v/>
      </c>
      <c r="AF23" s="34" t="str">
        <f t="shared" si="4"/>
        <v/>
      </c>
      <c r="AG23" s="35" t="str">
        <f t="shared" si="5"/>
        <v>⏳ Saisir les notes...</v>
      </c>
      <c r="AH23" s="36"/>
    </row>
    <row r="24" spans="1:34" ht="21.75" customHeight="1" x14ac:dyDescent="0.25">
      <c r="A24" s="37">
        <v>18</v>
      </c>
      <c r="B24" s="38"/>
      <c r="C24" s="39"/>
      <c r="D24" s="17"/>
      <c r="E24" s="17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2" t="str">
        <f t="shared" si="0"/>
        <v/>
      </c>
      <c r="AC24" s="43" t="str">
        <f t="shared" si="1"/>
        <v/>
      </c>
      <c r="AD24" s="44" t="str">
        <f t="shared" si="2"/>
        <v/>
      </c>
      <c r="AE24" s="45" t="str">
        <f t="shared" si="3"/>
        <v/>
      </c>
      <c r="AF24" s="46" t="str">
        <f t="shared" si="4"/>
        <v/>
      </c>
      <c r="AG24" s="47" t="str">
        <f t="shared" si="5"/>
        <v>⏳ Saisir les notes...</v>
      </c>
      <c r="AH24" s="48"/>
    </row>
    <row r="25" spans="1:34" ht="21.75" customHeight="1" x14ac:dyDescent="0.25">
      <c r="A25" s="25">
        <v>19</v>
      </c>
      <c r="B25" s="26"/>
      <c r="C25" s="27"/>
      <c r="D25" s="19"/>
      <c r="E25" s="19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30" t="str">
        <f t="shared" si="0"/>
        <v/>
      </c>
      <c r="AC25" s="31" t="str">
        <f t="shared" si="1"/>
        <v/>
      </c>
      <c r="AD25" s="32" t="str">
        <f t="shared" si="2"/>
        <v/>
      </c>
      <c r="AE25" s="33" t="str">
        <f t="shared" si="3"/>
        <v/>
      </c>
      <c r="AF25" s="34" t="str">
        <f t="shared" si="4"/>
        <v/>
      </c>
      <c r="AG25" s="35" t="str">
        <f t="shared" si="5"/>
        <v>⏳ Saisir les notes...</v>
      </c>
      <c r="AH25" s="36"/>
    </row>
    <row r="26" spans="1:34" ht="21.75" customHeight="1" x14ac:dyDescent="0.25">
      <c r="A26" s="37">
        <v>20</v>
      </c>
      <c r="B26" s="38"/>
      <c r="C26" s="39"/>
      <c r="D26" s="17"/>
      <c r="E26" s="17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2" t="str">
        <f t="shared" si="0"/>
        <v/>
      </c>
      <c r="AC26" s="43" t="str">
        <f t="shared" si="1"/>
        <v/>
      </c>
      <c r="AD26" s="44" t="str">
        <f t="shared" si="2"/>
        <v/>
      </c>
      <c r="AE26" s="45" t="str">
        <f t="shared" si="3"/>
        <v/>
      </c>
      <c r="AF26" s="46" t="str">
        <f t="shared" si="4"/>
        <v/>
      </c>
      <c r="AG26" s="47" t="str">
        <f t="shared" si="5"/>
        <v>⏳ Saisir les notes...</v>
      </c>
      <c r="AH26" s="48"/>
    </row>
    <row r="27" spans="1:34" ht="21.75" customHeight="1" x14ac:dyDescent="0.25">
      <c r="A27" s="25">
        <v>21</v>
      </c>
      <c r="B27" s="26"/>
      <c r="C27" s="27"/>
      <c r="D27" s="19"/>
      <c r="E27" s="19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30" t="str">
        <f t="shared" si="0"/>
        <v/>
      </c>
      <c r="AC27" s="31" t="str">
        <f t="shared" si="1"/>
        <v/>
      </c>
      <c r="AD27" s="32" t="str">
        <f t="shared" si="2"/>
        <v/>
      </c>
      <c r="AE27" s="33" t="str">
        <f t="shared" si="3"/>
        <v/>
      </c>
      <c r="AF27" s="34" t="str">
        <f t="shared" si="4"/>
        <v/>
      </c>
      <c r="AG27" s="35" t="str">
        <f t="shared" si="5"/>
        <v>⏳ Saisir les notes...</v>
      </c>
      <c r="AH27" s="36"/>
    </row>
    <row r="28" spans="1:34" ht="21.75" customHeight="1" x14ac:dyDescent="0.25">
      <c r="A28" s="37">
        <v>22</v>
      </c>
      <c r="B28" s="38"/>
      <c r="C28" s="39"/>
      <c r="D28" s="17"/>
      <c r="E28" s="17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 t="str">
        <f t="shared" si="0"/>
        <v/>
      </c>
      <c r="AC28" s="43" t="str">
        <f t="shared" si="1"/>
        <v/>
      </c>
      <c r="AD28" s="44" t="str">
        <f t="shared" si="2"/>
        <v/>
      </c>
      <c r="AE28" s="45" t="str">
        <f t="shared" si="3"/>
        <v/>
      </c>
      <c r="AF28" s="46" t="str">
        <f t="shared" si="4"/>
        <v/>
      </c>
      <c r="AG28" s="47" t="str">
        <f t="shared" si="5"/>
        <v>⏳ Saisir les notes...</v>
      </c>
      <c r="AH28" s="48"/>
    </row>
    <row r="29" spans="1:34" ht="21.75" customHeight="1" x14ac:dyDescent="0.25">
      <c r="A29" s="25">
        <v>23</v>
      </c>
      <c r="B29" s="26"/>
      <c r="C29" s="27"/>
      <c r="D29" s="19"/>
      <c r="E29" s="1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30" t="str">
        <f t="shared" si="0"/>
        <v/>
      </c>
      <c r="AC29" s="31" t="str">
        <f t="shared" si="1"/>
        <v/>
      </c>
      <c r="AD29" s="32" t="str">
        <f t="shared" si="2"/>
        <v/>
      </c>
      <c r="AE29" s="33" t="str">
        <f t="shared" si="3"/>
        <v/>
      </c>
      <c r="AF29" s="34" t="str">
        <f t="shared" si="4"/>
        <v/>
      </c>
      <c r="AG29" s="35" t="str">
        <f t="shared" si="5"/>
        <v>⏳ Saisir les notes...</v>
      </c>
      <c r="AH29" s="36"/>
    </row>
    <row r="30" spans="1:34" ht="21.75" customHeight="1" x14ac:dyDescent="0.25">
      <c r="A30" s="37">
        <v>24</v>
      </c>
      <c r="B30" s="38"/>
      <c r="C30" s="39"/>
      <c r="D30" s="17"/>
      <c r="E30" s="17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2" t="str">
        <f t="shared" si="0"/>
        <v/>
      </c>
      <c r="AC30" s="43" t="str">
        <f t="shared" si="1"/>
        <v/>
      </c>
      <c r="AD30" s="44" t="str">
        <f t="shared" si="2"/>
        <v/>
      </c>
      <c r="AE30" s="45" t="str">
        <f t="shared" si="3"/>
        <v/>
      </c>
      <c r="AF30" s="46" t="str">
        <f t="shared" si="4"/>
        <v/>
      </c>
      <c r="AG30" s="47" t="str">
        <f t="shared" si="5"/>
        <v>⏳ Saisir les notes...</v>
      </c>
      <c r="AH30" s="48"/>
    </row>
    <row r="31" spans="1:34" ht="21.75" customHeight="1" x14ac:dyDescent="0.25">
      <c r="A31" s="25">
        <v>25</v>
      </c>
      <c r="B31" s="26"/>
      <c r="C31" s="27"/>
      <c r="D31" s="19"/>
      <c r="E31" s="19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30" t="str">
        <f t="shared" si="0"/>
        <v/>
      </c>
      <c r="AC31" s="31" t="str">
        <f t="shared" si="1"/>
        <v/>
      </c>
      <c r="AD31" s="32" t="str">
        <f t="shared" si="2"/>
        <v/>
      </c>
      <c r="AE31" s="33" t="str">
        <f t="shared" si="3"/>
        <v/>
      </c>
      <c r="AF31" s="34" t="str">
        <f t="shared" si="4"/>
        <v/>
      </c>
      <c r="AG31" s="35" t="str">
        <f t="shared" si="5"/>
        <v>⏳ Saisir les notes...</v>
      </c>
      <c r="AH31" s="36"/>
    </row>
    <row r="32" spans="1:34" ht="21.75" customHeight="1" x14ac:dyDescent="0.25">
      <c r="A32" s="37">
        <v>26</v>
      </c>
      <c r="B32" s="38"/>
      <c r="C32" s="39"/>
      <c r="D32" s="17"/>
      <c r="E32" s="17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2" t="str">
        <f t="shared" si="0"/>
        <v/>
      </c>
      <c r="AC32" s="43" t="str">
        <f t="shared" si="1"/>
        <v/>
      </c>
      <c r="AD32" s="44" t="str">
        <f t="shared" si="2"/>
        <v/>
      </c>
      <c r="AE32" s="45" t="str">
        <f t="shared" si="3"/>
        <v/>
      </c>
      <c r="AF32" s="46" t="str">
        <f t="shared" si="4"/>
        <v/>
      </c>
      <c r="AG32" s="47" t="str">
        <f t="shared" si="5"/>
        <v>⏳ Saisir les notes...</v>
      </c>
      <c r="AH32" s="48"/>
    </row>
    <row r="33" spans="1:34" ht="21.75" customHeight="1" x14ac:dyDescent="0.25">
      <c r="A33" s="25">
        <v>27</v>
      </c>
      <c r="B33" s="26"/>
      <c r="C33" s="27"/>
      <c r="D33" s="19"/>
      <c r="E33" s="19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30" t="str">
        <f t="shared" si="0"/>
        <v/>
      </c>
      <c r="AC33" s="31" t="str">
        <f t="shared" si="1"/>
        <v/>
      </c>
      <c r="AD33" s="32" t="str">
        <f t="shared" si="2"/>
        <v/>
      </c>
      <c r="AE33" s="33" t="str">
        <f t="shared" si="3"/>
        <v/>
      </c>
      <c r="AF33" s="34" t="str">
        <f t="shared" si="4"/>
        <v/>
      </c>
      <c r="AG33" s="35" t="str">
        <f t="shared" si="5"/>
        <v>⏳ Saisir les notes...</v>
      </c>
      <c r="AH33" s="36"/>
    </row>
    <row r="34" spans="1:34" ht="21.75" customHeight="1" x14ac:dyDescent="0.25">
      <c r="A34" s="37">
        <v>28</v>
      </c>
      <c r="B34" s="38"/>
      <c r="C34" s="39"/>
      <c r="D34" s="17"/>
      <c r="E34" s="17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2" t="str">
        <f t="shared" si="0"/>
        <v/>
      </c>
      <c r="AC34" s="43" t="str">
        <f t="shared" si="1"/>
        <v/>
      </c>
      <c r="AD34" s="44" t="str">
        <f t="shared" si="2"/>
        <v/>
      </c>
      <c r="AE34" s="45" t="str">
        <f t="shared" si="3"/>
        <v/>
      </c>
      <c r="AF34" s="46" t="str">
        <f t="shared" si="4"/>
        <v/>
      </c>
      <c r="AG34" s="47" t="str">
        <f t="shared" si="5"/>
        <v>⏳ Saisir les notes...</v>
      </c>
      <c r="AH34" s="48"/>
    </row>
    <row r="35" spans="1:34" ht="21.75" customHeight="1" x14ac:dyDescent="0.25">
      <c r="A35" s="25">
        <v>29</v>
      </c>
      <c r="B35" s="26"/>
      <c r="C35" s="27"/>
      <c r="D35" s="19"/>
      <c r="E35" s="19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0" t="str">
        <f t="shared" si="0"/>
        <v/>
      </c>
      <c r="AC35" s="31" t="str">
        <f t="shared" si="1"/>
        <v/>
      </c>
      <c r="AD35" s="32" t="str">
        <f t="shared" si="2"/>
        <v/>
      </c>
      <c r="AE35" s="33" t="str">
        <f t="shared" si="3"/>
        <v/>
      </c>
      <c r="AF35" s="34" t="str">
        <f t="shared" si="4"/>
        <v/>
      </c>
      <c r="AG35" s="35" t="str">
        <f t="shared" si="5"/>
        <v>⏳ Saisir les notes...</v>
      </c>
      <c r="AH35" s="36"/>
    </row>
    <row r="36" spans="1:34" ht="21.75" customHeight="1" x14ac:dyDescent="0.25">
      <c r="A36" s="37">
        <v>30</v>
      </c>
      <c r="B36" s="38"/>
      <c r="C36" s="39"/>
      <c r="D36" s="17"/>
      <c r="E36" s="17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2" t="str">
        <f t="shared" si="0"/>
        <v/>
      </c>
      <c r="AC36" s="43" t="str">
        <f t="shared" si="1"/>
        <v/>
      </c>
      <c r="AD36" s="44" t="str">
        <f t="shared" si="2"/>
        <v/>
      </c>
      <c r="AE36" s="45" t="str">
        <f t="shared" si="3"/>
        <v/>
      </c>
      <c r="AF36" s="46" t="str">
        <f t="shared" si="4"/>
        <v/>
      </c>
      <c r="AG36" s="47" t="str">
        <f t="shared" si="5"/>
        <v>⏳ Saisir les notes...</v>
      </c>
      <c r="AH36" s="48"/>
    </row>
    <row r="37" spans="1:34" ht="21.75" customHeight="1" x14ac:dyDescent="0.25">
      <c r="A37" s="25">
        <v>31</v>
      </c>
      <c r="B37" s="26"/>
      <c r="C37" s="27"/>
      <c r="D37" s="19"/>
      <c r="E37" s="19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30" t="str">
        <f t="shared" si="0"/>
        <v/>
      </c>
      <c r="AC37" s="31" t="str">
        <f t="shared" si="1"/>
        <v/>
      </c>
      <c r="AD37" s="32" t="str">
        <f t="shared" si="2"/>
        <v/>
      </c>
      <c r="AE37" s="33" t="str">
        <f t="shared" si="3"/>
        <v/>
      </c>
      <c r="AF37" s="34" t="str">
        <f t="shared" si="4"/>
        <v/>
      </c>
      <c r="AG37" s="35" t="str">
        <f t="shared" si="5"/>
        <v>⏳ Saisir les notes...</v>
      </c>
      <c r="AH37" s="36"/>
    </row>
    <row r="38" spans="1:34" ht="21.75" customHeight="1" x14ac:dyDescent="0.25">
      <c r="A38" s="37">
        <v>32</v>
      </c>
      <c r="B38" s="38"/>
      <c r="C38" s="39"/>
      <c r="D38" s="17"/>
      <c r="E38" s="17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2" t="str">
        <f t="shared" si="0"/>
        <v/>
      </c>
      <c r="AC38" s="43" t="str">
        <f t="shared" si="1"/>
        <v/>
      </c>
      <c r="AD38" s="44" t="str">
        <f t="shared" si="2"/>
        <v/>
      </c>
      <c r="AE38" s="45" t="str">
        <f t="shared" si="3"/>
        <v/>
      </c>
      <c r="AF38" s="46" t="str">
        <f t="shared" si="4"/>
        <v/>
      </c>
      <c r="AG38" s="47" t="str">
        <f t="shared" si="5"/>
        <v>⏳ Saisir les notes...</v>
      </c>
      <c r="AH38" s="48"/>
    </row>
    <row r="39" spans="1:34" ht="21.75" customHeight="1" x14ac:dyDescent="0.25">
      <c r="A39" s="25">
        <v>33</v>
      </c>
      <c r="B39" s="26"/>
      <c r="C39" s="27"/>
      <c r="D39" s="19"/>
      <c r="E39" s="19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30" t="str">
        <f t="shared" ref="AB39:AB56" si="6">IF(COUNTA(F39:Q39)=0,"",SUM(F39:Q39))</f>
        <v/>
      </c>
      <c r="AC39" s="31" t="str">
        <f t="shared" ref="AC39:AC56" si="7">IF(COUNTA(R39:AA39)=0,"",SUM(R39:AA39))</f>
        <v/>
      </c>
      <c r="AD39" s="32" t="str">
        <f t="shared" ref="AD39:AD70" si="8">IF(AB39="","",IFERROR(AB39+AC39,AB39))</f>
        <v/>
      </c>
      <c r="AE39" s="33" t="str">
        <f t="shared" ref="AE39:AE70" si="9">IF(AD39="","",ROUND(AD39/110*100,1))</f>
        <v/>
      </c>
      <c r="AF39" s="34" t="str">
        <f t="shared" ref="AF39:AF70" si="10">IF(AE39="","",IF(AE39&gt;=85,"A",IF(AE39&gt;=70,"B",IF(AE39&gt;=50,"C","D"))))</f>
        <v/>
      </c>
      <c r="AG39" s="35" t="str">
        <f t="shared" ref="AG39:AG70" si="11">IF(AE39="","⏳ Saisir les notes...",IF(AF39="A","🏆 EXCELLENT – "&amp;C39&amp;" maîtrise parfaitement. Score "&amp;ROUND(AE39,1)&amp;"/100. Aucune action.",IF(AF39="B","✅ BON NIVEAU – "&amp;C39&amp;". Score "&amp;ROUND(AE39,1)&amp;"/100. Suivi régulier conseillé.",IF(AF39="C","⚠️ PASSABLE – "&amp;C39&amp;". Score "&amp;ROUND(AE39,1)&amp;"/100. Formation recommandée sous 30 jours.","🚨 INSUFFISANT – "&amp;C39&amp;". Score "&amp;ROUND(AE39,1)&amp;"/100. Action corrective URGENTE."))))</f>
        <v>⏳ Saisir les notes...</v>
      </c>
      <c r="AH39" s="36"/>
    </row>
    <row r="40" spans="1:34" ht="21.75" customHeight="1" x14ac:dyDescent="0.25">
      <c r="A40" s="37">
        <v>34</v>
      </c>
      <c r="B40" s="38"/>
      <c r="C40" s="39"/>
      <c r="D40" s="17"/>
      <c r="E40" s="17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2" t="str">
        <f t="shared" si="6"/>
        <v/>
      </c>
      <c r="AC40" s="43" t="str">
        <f t="shared" si="7"/>
        <v/>
      </c>
      <c r="AD40" s="44" t="str">
        <f t="shared" si="8"/>
        <v/>
      </c>
      <c r="AE40" s="45" t="str">
        <f t="shared" si="9"/>
        <v/>
      </c>
      <c r="AF40" s="46" t="str">
        <f t="shared" si="10"/>
        <v/>
      </c>
      <c r="AG40" s="47" t="str">
        <f t="shared" si="11"/>
        <v>⏳ Saisir les notes...</v>
      </c>
      <c r="AH40" s="48"/>
    </row>
    <row r="41" spans="1:34" ht="21.75" customHeight="1" x14ac:dyDescent="0.25">
      <c r="A41" s="25">
        <v>35</v>
      </c>
      <c r="B41" s="26"/>
      <c r="C41" s="27"/>
      <c r="D41" s="19"/>
      <c r="E41" s="19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30" t="str">
        <f t="shared" si="6"/>
        <v/>
      </c>
      <c r="AC41" s="31" t="str">
        <f t="shared" si="7"/>
        <v/>
      </c>
      <c r="AD41" s="32" t="str">
        <f t="shared" si="8"/>
        <v/>
      </c>
      <c r="AE41" s="33" t="str">
        <f t="shared" si="9"/>
        <v/>
      </c>
      <c r="AF41" s="34" t="str">
        <f t="shared" si="10"/>
        <v/>
      </c>
      <c r="AG41" s="35" t="str">
        <f t="shared" si="11"/>
        <v>⏳ Saisir les notes...</v>
      </c>
      <c r="AH41" s="36"/>
    </row>
    <row r="42" spans="1:34" ht="21.75" customHeight="1" x14ac:dyDescent="0.25">
      <c r="A42" s="37">
        <v>36</v>
      </c>
      <c r="B42" s="38"/>
      <c r="C42" s="39"/>
      <c r="D42" s="17"/>
      <c r="E42" s="17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2" t="str">
        <f t="shared" si="6"/>
        <v/>
      </c>
      <c r="AC42" s="43" t="str">
        <f t="shared" si="7"/>
        <v/>
      </c>
      <c r="AD42" s="44" t="str">
        <f t="shared" si="8"/>
        <v/>
      </c>
      <c r="AE42" s="45" t="str">
        <f t="shared" si="9"/>
        <v/>
      </c>
      <c r="AF42" s="46" t="str">
        <f t="shared" si="10"/>
        <v/>
      </c>
      <c r="AG42" s="47" t="str">
        <f t="shared" si="11"/>
        <v>⏳ Saisir les notes...</v>
      </c>
      <c r="AH42" s="48"/>
    </row>
    <row r="43" spans="1:34" ht="21.75" customHeight="1" x14ac:dyDescent="0.25">
      <c r="A43" s="25">
        <v>37</v>
      </c>
      <c r="B43" s="26"/>
      <c r="C43" s="27"/>
      <c r="D43" s="19"/>
      <c r="E43" s="19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30" t="str">
        <f t="shared" si="6"/>
        <v/>
      </c>
      <c r="AC43" s="31" t="str">
        <f t="shared" si="7"/>
        <v/>
      </c>
      <c r="AD43" s="32" t="str">
        <f t="shared" si="8"/>
        <v/>
      </c>
      <c r="AE43" s="33" t="str">
        <f t="shared" si="9"/>
        <v/>
      </c>
      <c r="AF43" s="34" t="str">
        <f t="shared" si="10"/>
        <v/>
      </c>
      <c r="AG43" s="35" t="str">
        <f t="shared" si="11"/>
        <v>⏳ Saisir les notes...</v>
      </c>
      <c r="AH43" s="36"/>
    </row>
    <row r="44" spans="1:34" ht="21.75" customHeight="1" x14ac:dyDescent="0.25">
      <c r="A44" s="37">
        <v>38</v>
      </c>
      <c r="B44" s="38"/>
      <c r="C44" s="39"/>
      <c r="D44" s="17"/>
      <c r="E44" s="17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2" t="str">
        <f t="shared" si="6"/>
        <v/>
      </c>
      <c r="AC44" s="43" t="str">
        <f t="shared" si="7"/>
        <v/>
      </c>
      <c r="AD44" s="44" t="str">
        <f t="shared" si="8"/>
        <v/>
      </c>
      <c r="AE44" s="45" t="str">
        <f t="shared" si="9"/>
        <v/>
      </c>
      <c r="AF44" s="46" t="str">
        <f t="shared" si="10"/>
        <v/>
      </c>
      <c r="AG44" s="47" t="str">
        <f t="shared" si="11"/>
        <v>⏳ Saisir les notes...</v>
      </c>
      <c r="AH44" s="48"/>
    </row>
    <row r="45" spans="1:34" ht="21.75" customHeight="1" x14ac:dyDescent="0.25">
      <c r="A45" s="25">
        <v>39</v>
      </c>
      <c r="B45" s="26"/>
      <c r="C45" s="27"/>
      <c r="D45" s="19"/>
      <c r="E45" s="19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30" t="str">
        <f t="shared" si="6"/>
        <v/>
      </c>
      <c r="AC45" s="31" t="str">
        <f t="shared" si="7"/>
        <v/>
      </c>
      <c r="AD45" s="32" t="str">
        <f t="shared" si="8"/>
        <v/>
      </c>
      <c r="AE45" s="33" t="str">
        <f t="shared" si="9"/>
        <v/>
      </c>
      <c r="AF45" s="34" t="str">
        <f t="shared" si="10"/>
        <v/>
      </c>
      <c r="AG45" s="35" t="str">
        <f t="shared" si="11"/>
        <v>⏳ Saisir les notes...</v>
      </c>
      <c r="AH45" s="36"/>
    </row>
    <row r="46" spans="1:34" ht="21.75" customHeight="1" x14ac:dyDescent="0.25">
      <c r="A46" s="37">
        <v>40</v>
      </c>
      <c r="B46" s="38"/>
      <c r="C46" s="39"/>
      <c r="D46" s="17"/>
      <c r="E46" s="17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2" t="str">
        <f t="shared" si="6"/>
        <v/>
      </c>
      <c r="AC46" s="43" t="str">
        <f t="shared" si="7"/>
        <v/>
      </c>
      <c r="AD46" s="44" t="str">
        <f t="shared" si="8"/>
        <v/>
      </c>
      <c r="AE46" s="45" t="str">
        <f t="shared" si="9"/>
        <v/>
      </c>
      <c r="AF46" s="46" t="str">
        <f t="shared" si="10"/>
        <v/>
      </c>
      <c r="AG46" s="47" t="str">
        <f t="shared" si="11"/>
        <v>⏳ Saisir les notes...</v>
      </c>
      <c r="AH46" s="48"/>
    </row>
    <row r="47" spans="1:34" ht="21.75" customHeight="1" x14ac:dyDescent="0.25">
      <c r="A47" s="25">
        <v>41</v>
      </c>
      <c r="B47" s="26"/>
      <c r="C47" s="27"/>
      <c r="D47" s="19"/>
      <c r="E47" s="19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30" t="str">
        <f t="shared" si="6"/>
        <v/>
      </c>
      <c r="AC47" s="31" t="str">
        <f t="shared" si="7"/>
        <v/>
      </c>
      <c r="AD47" s="32" t="str">
        <f t="shared" si="8"/>
        <v/>
      </c>
      <c r="AE47" s="33" t="str">
        <f t="shared" si="9"/>
        <v/>
      </c>
      <c r="AF47" s="34" t="str">
        <f t="shared" si="10"/>
        <v/>
      </c>
      <c r="AG47" s="35" t="str">
        <f t="shared" si="11"/>
        <v>⏳ Saisir les notes...</v>
      </c>
      <c r="AH47" s="36"/>
    </row>
    <row r="48" spans="1:34" ht="21.75" customHeight="1" x14ac:dyDescent="0.25">
      <c r="A48" s="37">
        <v>42</v>
      </c>
      <c r="B48" s="38"/>
      <c r="C48" s="39"/>
      <c r="D48" s="17"/>
      <c r="E48" s="17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 t="str">
        <f t="shared" si="6"/>
        <v/>
      </c>
      <c r="AC48" s="43" t="str">
        <f t="shared" si="7"/>
        <v/>
      </c>
      <c r="AD48" s="44" t="str">
        <f t="shared" si="8"/>
        <v/>
      </c>
      <c r="AE48" s="45" t="str">
        <f t="shared" si="9"/>
        <v/>
      </c>
      <c r="AF48" s="46" t="str">
        <f t="shared" si="10"/>
        <v/>
      </c>
      <c r="AG48" s="47" t="str">
        <f t="shared" si="11"/>
        <v>⏳ Saisir les notes...</v>
      </c>
      <c r="AH48" s="48"/>
    </row>
    <row r="49" spans="1:34" ht="21.75" customHeight="1" x14ac:dyDescent="0.25">
      <c r="A49" s="25">
        <v>43</v>
      </c>
      <c r="B49" s="26"/>
      <c r="C49" s="27"/>
      <c r="D49" s="19"/>
      <c r="E49" s="19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30" t="str">
        <f t="shared" si="6"/>
        <v/>
      </c>
      <c r="AC49" s="31" t="str">
        <f t="shared" si="7"/>
        <v/>
      </c>
      <c r="AD49" s="32" t="str">
        <f t="shared" si="8"/>
        <v/>
      </c>
      <c r="AE49" s="33" t="str">
        <f t="shared" si="9"/>
        <v/>
      </c>
      <c r="AF49" s="34" t="str">
        <f t="shared" si="10"/>
        <v/>
      </c>
      <c r="AG49" s="35" t="str">
        <f t="shared" si="11"/>
        <v>⏳ Saisir les notes...</v>
      </c>
      <c r="AH49" s="36"/>
    </row>
    <row r="50" spans="1:34" ht="21.75" customHeight="1" x14ac:dyDescent="0.25">
      <c r="A50" s="37">
        <v>44</v>
      </c>
      <c r="B50" s="38"/>
      <c r="C50" s="39"/>
      <c r="D50" s="17"/>
      <c r="E50" s="17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 t="str">
        <f t="shared" si="6"/>
        <v/>
      </c>
      <c r="AC50" s="43" t="str">
        <f t="shared" si="7"/>
        <v/>
      </c>
      <c r="AD50" s="44" t="str">
        <f t="shared" si="8"/>
        <v/>
      </c>
      <c r="AE50" s="45" t="str">
        <f t="shared" si="9"/>
        <v/>
      </c>
      <c r="AF50" s="46" t="str">
        <f t="shared" si="10"/>
        <v/>
      </c>
      <c r="AG50" s="47" t="str">
        <f t="shared" si="11"/>
        <v>⏳ Saisir les notes...</v>
      </c>
      <c r="AH50" s="48"/>
    </row>
    <row r="51" spans="1:34" ht="21.75" customHeight="1" x14ac:dyDescent="0.25">
      <c r="A51" s="25">
        <v>45</v>
      </c>
      <c r="B51" s="26"/>
      <c r="C51" s="27"/>
      <c r="D51" s="19"/>
      <c r="E51" s="19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30" t="str">
        <f t="shared" si="6"/>
        <v/>
      </c>
      <c r="AC51" s="31" t="str">
        <f t="shared" si="7"/>
        <v/>
      </c>
      <c r="AD51" s="32" t="str">
        <f t="shared" si="8"/>
        <v/>
      </c>
      <c r="AE51" s="33" t="str">
        <f t="shared" si="9"/>
        <v/>
      </c>
      <c r="AF51" s="34" t="str">
        <f t="shared" si="10"/>
        <v/>
      </c>
      <c r="AG51" s="35" t="str">
        <f t="shared" si="11"/>
        <v>⏳ Saisir les notes...</v>
      </c>
      <c r="AH51" s="36"/>
    </row>
    <row r="52" spans="1:34" ht="21.75" customHeight="1" x14ac:dyDescent="0.25">
      <c r="A52" s="37">
        <v>46</v>
      </c>
      <c r="B52" s="38"/>
      <c r="C52" s="39"/>
      <c r="D52" s="17"/>
      <c r="E52" s="17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 t="str">
        <f t="shared" si="6"/>
        <v/>
      </c>
      <c r="AC52" s="43" t="str">
        <f t="shared" si="7"/>
        <v/>
      </c>
      <c r="AD52" s="44" t="str">
        <f t="shared" si="8"/>
        <v/>
      </c>
      <c r="AE52" s="45" t="str">
        <f t="shared" si="9"/>
        <v/>
      </c>
      <c r="AF52" s="46" t="str">
        <f t="shared" si="10"/>
        <v/>
      </c>
      <c r="AG52" s="47" t="str">
        <f t="shared" si="11"/>
        <v>⏳ Saisir les notes...</v>
      </c>
      <c r="AH52" s="48"/>
    </row>
    <row r="53" spans="1:34" ht="21.75" customHeight="1" x14ac:dyDescent="0.25">
      <c r="A53" s="25">
        <v>47</v>
      </c>
      <c r="B53" s="26"/>
      <c r="C53" s="27"/>
      <c r="D53" s="19"/>
      <c r="E53" s="19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30" t="str">
        <f t="shared" si="6"/>
        <v/>
      </c>
      <c r="AC53" s="31" t="str">
        <f t="shared" si="7"/>
        <v/>
      </c>
      <c r="AD53" s="32" t="str">
        <f t="shared" si="8"/>
        <v/>
      </c>
      <c r="AE53" s="33" t="str">
        <f t="shared" si="9"/>
        <v/>
      </c>
      <c r="AF53" s="34" t="str">
        <f t="shared" si="10"/>
        <v/>
      </c>
      <c r="AG53" s="35" t="str">
        <f t="shared" si="11"/>
        <v>⏳ Saisir les notes...</v>
      </c>
      <c r="AH53" s="36"/>
    </row>
    <row r="54" spans="1:34" ht="21.75" customHeight="1" x14ac:dyDescent="0.25">
      <c r="A54" s="37">
        <v>48</v>
      </c>
      <c r="B54" s="38"/>
      <c r="C54" s="39"/>
      <c r="D54" s="17"/>
      <c r="E54" s="17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2" t="str">
        <f t="shared" si="6"/>
        <v/>
      </c>
      <c r="AC54" s="43" t="str">
        <f t="shared" si="7"/>
        <v/>
      </c>
      <c r="AD54" s="44" t="str">
        <f t="shared" si="8"/>
        <v/>
      </c>
      <c r="AE54" s="45" t="str">
        <f t="shared" si="9"/>
        <v/>
      </c>
      <c r="AF54" s="46" t="str">
        <f t="shared" si="10"/>
        <v/>
      </c>
      <c r="AG54" s="47" t="str">
        <f t="shared" si="11"/>
        <v>⏳ Saisir les notes...</v>
      </c>
      <c r="AH54" s="48"/>
    </row>
    <row r="55" spans="1:34" ht="21.75" customHeight="1" x14ac:dyDescent="0.25">
      <c r="A55" s="25">
        <v>49</v>
      </c>
      <c r="B55" s="26"/>
      <c r="C55" s="27"/>
      <c r="D55" s="19"/>
      <c r="E55" s="19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30" t="str">
        <f t="shared" si="6"/>
        <v/>
      </c>
      <c r="AC55" s="31" t="str">
        <f t="shared" si="7"/>
        <v/>
      </c>
      <c r="AD55" s="32" t="str">
        <f t="shared" si="8"/>
        <v/>
      </c>
      <c r="AE55" s="33" t="str">
        <f t="shared" si="9"/>
        <v/>
      </c>
      <c r="AF55" s="34" t="str">
        <f t="shared" si="10"/>
        <v/>
      </c>
      <c r="AG55" s="35" t="str">
        <f t="shared" si="11"/>
        <v>⏳ Saisir les notes...</v>
      </c>
      <c r="AH55" s="36"/>
    </row>
    <row r="56" spans="1:34" ht="21.75" customHeight="1" x14ac:dyDescent="0.25">
      <c r="A56" s="37">
        <v>50</v>
      </c>
      <c r="B56" s="38"/>
      <c r="C56" s="39"/>
      <c r="D56" s="17"/>
      <c r="E56" s="17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 t="str">
        <f t="shared" si="6"/>
        <v/>
      </c>
      <c r="AC56" s="43" t="str">
        <f t="shared" si="7"/>
        <v/>
      </c>
      <c r="AD56" s="44" t="str">
        <f t="shared" si="8"/>
        <v/>
      </c>
      <c r="AE56" s="45" t="str">
        <f t="shared" si="9"/>
        <v/>
      </c>
      <c r="AF56" s="46" t="str">
        <f t="shared" si="10"/>
        <v/>
      </c>
      <c r="AG56" s="47" t="str">
        <f t="shared" si="11"/>
        <v>⏳ Saisir les notes...</v>
      </c>
      <c r="AH56" s="48"/>
    </row>
  </sheetData>
  <mergeCells count="10">
    <mergeCell ref="F4:Q4"/>
    <mergeCell ref="R4:AA4"/>
    <mergeCell ref="A1:AH1"/>
    <mergeCell ref="A2:AH2"/>
    <mergeCell ref="A3:E3"/>
    <mergeCell ref="F3:Q3"/>
    <mergeCell ref="R3:AA3"/>
    <mergeCell ref="AB3:AD3"/>
    <mergeCell ref="AE3:AF3"/>
    <mergeCell ref="AG3:AH3"/>
  </mergeCells>
  <dataValidations count="1">
    <dataValidation type="whole" showInputMessage="1" showErrorMessage="1" errorTitle="Note invalide" error="Entier entre 1 et 5" promptTitle="Saisie note" prompt="Note: 1=Insuffisant, 2=Passable, 3=Satisfaisant, 4=Bon, 5=Excellent" sqref="F7:AA56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Équipe inconnue" error="Choisissez une équipe dans la liste" xr:uid="{00000000-0002-0000-0100-000001000000}">
          <x14:formula1>
            <xm:f>'👥 ÉQUIPES'!$B$5:$B$24</xm:f>
          </x14:formula1>
          <x14:formula2>
            <xm:f>0</xm:f>
          </x14:formula2>
          <xm:sqref>C7:C56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J26"/>
  <sheetViews>
    <sheetView showGridLines="0" zoomScaleNormal="100" workbookViewId="0">
      <pane ySplit="6" topLeftCell="A7" activePane="bottomLeft" state="frozen"/>
      <selection pane="bottomLeft" sqref="A1:J1"/>
    </sheetView>
  </sheetViews>
  <sheetFormatPr baseColWidth="10" defaultColWidth="8.7109375" defaultRowHeight="15" x14ac:dyDescent="0.25"/>
  <cols>
    <col min="1" max="1" width="6" customWidth="1"/>
    <col min="2" max="2" width="20" customWidth="1"/>
    <col min="3" max="8" width="14" customWidth="1"/>
    <col min="9" max="9" width="40" customWidth="1"/>
    <col min="10" max="10" width="6" customWidth="1"/>
  </cols>
  <sheetData>
    <row r="1" spans="1:10" ht="33.75" customHeight="1" x14ac:dyDescent="0.25">
      <c r="A1" s="14" t="s">
        <v>54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9.5" customHeight="1" x14ac:dyDescent="0.25">
      <c r="A2" s="13" t="s">
        <v>55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7.5" customHeight="1" x14ac:dyDescent="0.25"/>
    <row r="4" spans="1:10" ht="21.75" customHeight="1" x14ac:dyDescent="0.25">
      <c r="A4" s="2" t="s">
        <v>56</v>
      </c>
      <c r="B4" s="2"/>
      <c r="C4" s="2"/>
      <c r="D4" s="2"/>
      <c r="E4" s="2"/>
      <c r="F4" s="2"/>
      <c r="G4" s="2"/>
      <c r="H4" s="2"/>
      <c r="I4" s="2"/>
      <c r="J4" s="2"/>
    </row>
    <row r="5" spans="1:10" ht="7.5" customHeight="1" x14ac:dyDescent="0.25"/>
    <row r="6" spans="1:10" ht="36" customHeight="1" x14ac:dyDescent="0.25">
      <c r="B6" s="15" t="s">
        <v>57</v>
      </c>
      <c r="C6" s="15" t="s">
        <v>58</v>
      </c>
      <c r="D6" s="20" t="s">
        <v>59</v>
      </c>
      <c r="E6" s="21" t="s">
        <v>60</v>
      </c>
      <c r="F6" s="22" t="s">
        <v>61</v>
      </c>
      <c r="G6" s="23" t="s">
        <v>62</v>
      </c>
      <c r="H6" s="23" t="s">
        <v>63</v>
      </c>
      <c r="I6" s="24" t="s">
        <v>64</v>
      </c>
    </row>
    <row r="7" spans="1:10" ht="25.5" customHeight="1" x14ac:dyDescent="0.25">
      <c r="B7" s="49" t="str">
        <f>'👥 ÉQUIPES'!$B$5</f>
        <v>Équipe A</v>
      </c>
      <c r="C7" s="50">
        <f>COUNTIF('📋 SAISIE'!$C$7:$C$56,'👥 ÉQUIPES'!$B$5)</f>
        <v>0</v>
      </c>
      <c r="D7" s="51" t="str">
        <f>IFERROR(ROUND(AVERAGEIF('📋 SAISIE'!$C$7:$C$56,'👥 ÉQUIPES'!$B$5,'📋 SAISIE'!$AB$7:$AB$56),1),"—")</f>
        <v>—</v>
      </c>
      <c r="E7" s="52" t="str">
        <f>IFERROR(ROUND(AVERAGEIF('📋 SAISIE'!$C$7:$C$56,'👥 ÉQUIPES'!$B$5,'📋 SAISIE'!$AC$7:$AC$56),1),"—")</f>
        <v>—</v>
      </c>
      <c r="F7" s="50" t="str">
        <f>IFERROR(ROUND(AVERAGEIF('📋 SAISIE'!$C$7:$C$56,'👥 ÉQUIPES'!$B$5,'📋 SAISIE'!$AD$7:$AD$56),1),"—")</f>
        <v>—</v>
      </c>
      <c r="G7" s="34" t="str">
        <f>IFERROR(ROUND(AVERAGEIF('📋 SAISIE'!$C$7:$C$56,'👥 ÉQUIPES'!$B$5,'📋 SAISIE'!$AE$7:$AE$56),1),"—")</f>
        <v>—</v>
      </c>
      <c r="H7" s="53" t="str">
        <f t="shared" ref="H7:H26" si="0">IF(C7=0,"—",IF(G7&gt;=85,"A",IF(G7&gt;=70,"B",IF(G7&gt;=50,"C","D"))))</f>
        <v>—</v>
      </c>
      <c r="I7" s="35" t="str">
        <f t="shared" ref="I7:I26" si="1">IF(C7=0,"⏳ Aucune intervention saisie pour cette équipe.",IF(G7&gt;=85,"🏆 EXCELLENT – "&amp;B7&amp;" : "&amp;C7&amp;" intervention(s) – Moyenne "&amp;ROUND(G7,1)&amp;"/100. Équipe au top, maintenir le rythme !",IF(G7&gt;=70,"✅ BON NIVEAU – "&amp;B7&amp;" : "&amp;C7&amp;" intervention(s) – Moyenne "&amp;ROUND(G7,1)&amp;"/100. Bon travail, axes d'amélioration ciblés.",IF(G7&gt;=50,"⚠️ PASSABLE – "&amp;B7&amp;" : "&amp;C7&amp;" intervention(s) – Moyenne "&amp;ROUND(G7,1)&amp;"/100. Formation recommandée. Accompagnement renforcé nécessaire.","🚨 INSUFFISANT – "&amp;B7&amp;" : "&amp;C7&amp;" intervention(s) – Moyenne "&amp;ROUND(G7,1)&amp;"/100. Remise à niveau URGENTE. Plan d'action immédiat."))))</f>
        <v>⏳ Aucune intervention saisie pour cette équipe.</v>
      </c>
    </row>
    <row r="8" spans="1:10" ht="25.5" customHeight="1" x14ac:dyDescent="0.25">
      <c r="B8" s="54" t="str">
        <f>'👥 ÉQUIPES'!$B$6</f>
        <v>Équipe B</v>
      </c>
      <c r="C8" s="55">
        <f>COUNTIF('📋 SAISIE'!$C$7:$C$56,'👥 ÉQUIPES'!$B$6)</f>
        <v>0</v>
      </c>
      <c r="D8" s="56" t="str">
        <f>IFERROR(ROUND(AVERAGEIF('📋 SAISIE'!$C$7:$C$56,'👥 ÉQUIPES'!$B$6,'📋 SAISIE'!$AB$7:$AB$56),1),"—")</f>
        <v>—</v>
      </c>
      <c r="E8" s="57" t="str">
        <f>IFERROR(ROUND(AVERAGEIF('📋 SAISIE'!$C$7:$C$56,'👥 ÉQUIPES'!$B$6,'📋 SAISIE'!$AC$7:$AC$56),1),"—")</f>
        <v>—</v>
      </c>
      <c r="F8" s="55" t="str">
        <f>IFERROR(ROUND(AVERAGEIF('📋 SAISIE'!$C$7:$C$56,'👥 ÉQUIPES'!$B$6,'📋 SAISIE'!$AD$7:$AD$56),1),"—")</f>
        <v>—</v>
      </c>
      <c r="G8" s="46" t="str">
        <f>IFERROR(ROUND(AVERAGEIF('📋 SAISIE'!$C$7:$C$56,'👥 ÉQUIPES'!$B$6,'📋 SAISIE'!$AE$7:$AE$56),1),"—")</f>
        <v>—</v>
      </c>
      <c r="H8" s="58" t="str">
        <f t="shared" si="0"/>
        <v>—</v>
      </c>
      <c r="I8" s="47" t="str">
        <f t="shared" si="1"/>
        <v>⏳ Aucune intervention saisie pour cette équipe.</v>
      </c>
    </row>
    <row r="9" spans="1:10" ht="25.5" customHeight="1" x14ac:dyDescent="0.25">
      <c r="B9" s="49" t="str">
        <f>'👥 ÉQUIPES'!$B$7</f>
        <v>Équipe C</v>
      </c>
      <c r="C9" s="50">
        <f>COUNTIF('📋 SAISIE'!$C$7:$C$56,'👥 ÉQUIPES'!$B$7)</f>
        <v>0</v>
      </c>
      <c r="D9" s="51" t="str">
        <f>IFERROR(ROUND(AVERAGEIF('📋 SAISIE'!$C$7:$C$56,'👥 ÉQUIPES'!$B$7,'📋 SAISIE'!$AB$7:$AB$56),1),"—")</f>
        <v>—</v>
      </c>
      <c r="E9" s="52" t="str">
        <f>IFERROR(ROUND(AVERAGEIF('📋 SAISIE'!$C$7:$C$56,'👥 ÉQUIPES'!$B$7,'📋 SAISIE'!$AC$7:$AC$56),1),"—")</f>
        <v>—</v>
      </c>
      <c r="F9" s="50" t="str">
        <f>IFERROR(ROUND(AVERAGEIF('📋 SAISIE'!$C$7:$C$56,'👥 ÉQUIPES'!$B$7,'📋 SAISIE'!$AD$7:$AD$56),1),"—")</f>
        <v>—</v>
      </c>
      <c r="G9" s="34" t="str">
        <f>IFERROR(ROUND(AVERAGEIF('📋 SAISIE'!$C$7:$C$56,'👥 ÉQUIPES'!$B$7,'📋 SAISIE'!$AE$7:$AE$56),1),"—")</f>
        <v>—</v>
      </c>
      <c r="H9" s="53" t="str">
        <f t="shared" si="0"/>
        <v>—</v>
      </c>
      <c r="I9" s="35" t="str">
        <f t="shared" si="1"/>
        <v>⏳ Aucune intervention saisie pour cette équipe.</v>
      </c>
    </row>
    <row r="10" spans="1:10" ht="25.5" customHeight="1" x14ac:dyDescent="0.25">
      <c r="B10" s="54" t="str">
        <f>'👥 ÉQUIPES'!$B$8</f>
        <v>Équipe D</v>
      </c>
      <c r="C10" s="55">
        <f>COUNTIF('📋 SAISIE'!$C$7:$C$56,'👥 ÉQUIPES'!$B$8)</f>
        <v>0</v>
      </c>
      <c r="D10" s="56" t="str">
        <f>IFERROR(ROUND(AVERAGEIF('📋 SAISIE'!$C$7:$C$56,'👥 ÉQUIPES'!$B$8,'📋 SAISIE'!$AB$7:$AB$56),1),"—")</f>
        <v>—</v>
      </c>
      <c r="E10" s="57" t="str">
        <f>IFERROR(ROUND(AVERAGEIF('📋 SAISIE'!$C$7:$C$56,'👥 ÉQUIPES'!$B$8,'📋 SAISIE'!$AC$7:$AC$56),1),"—")</f>
        <v>—</v>
      </c>
      <c r="F10" s="55" t="str">
        <f>IFERROR(ROUND(AVERAGEIF('📋 SAISIE'!$C$7:$C$56,'👥 ÉQUIPES'!$B$8,'📋 SAISIE'!$AD$7:$AD$56),1),"—")</f>
        <v>—</v>
      </c>
      <c r="G10" s="46" t="str">
        <f>IFERROR(ROUND(AVERAGEIF('📋 SAISIE'!$C$7:$C$56,'👥 ÉQUIPES'!$B$8,'📋 SAISIE'!$AE$7:$AE$56),1),"—")</f>
        <v>—</v>
      </c>
      <c r="H10" s="58" t="str">
        <f t="shared" si="0"/>
        <v>—</v>
      </c>
      <c r="I10" s="47" t="str">
        <f t="shared" si="1"/>
        <v>⏳ Aucune intervention saisie pour cette équipe.</v>
      </c>
    </row>
    <row r="11" spans="1:10" ht="25.5" customHeight="1" x14ac:dyDescent="0.25">
      <c r="B11" s="49" t="str">
        <f>'👥 ÉQUIPES'!$B$9</f>
        <v>Équipe E</v>
      </c>
      <c r="C11" s="50">
        <f>COUNTIF('📋 SAISIE'!$C$7:$C$56,'👥 ÉQUIPES'!$B$9)</f>
        <v>0</v>
      </c>
      <c r="D11" s="51" t="str">
        <f>IFERROR(ROUND(AVERAGEIF('📋 SAISIE'!$C$7:$C$56,'👥 ÉQUIPES'!$B$9,'📋 SAISIE'!$AB$7:$AB$56),1),"—")</f>
        <v>—</v>
      </c>
      <c r="E11" s="52" t="str">
        <f>IFERROR(ROUND(AVERAGEIF('📋 SAISIE'!$C$7:$C$56,'👥 ÉQUIPES'!$B$9,'📋 SAISIE'!$AC$7:$AC$56),1),"—")</f>
        <v>—</v>
      </c>
      <c r="F11" s="50" t="str">
        <f>IFERROR(ROUND(AVERAGEIF('📋 SAISIE'!$C$7:$C$56,'👥 ÉQUIPES'!$B$9,'📋 SAISIE'!$AD$7:$AD$56),1),"—")</f>
        <v>—</v>
      </c>
      <c r="G11" s="34" t="str">
        <f>IFERROR(ROUND(AVERAGEIF('📋 SAISIE'!$C$7:$C$56,'👥 ÉQUIPES'!$B$9,'📋 SAISIE'!$AE$7:$AE$56),1),"—")</f>
        <v>—</v>
      </c>
      <c r="H11" s="53" t="str">
        <f t="shared" si="0"/>
        <v>—</v>
      </c>
      <c r="I11" s="35" t="str">
        <f t="shared" si="1"/>
        <v>⏳ Aucune intervention saisie pour cette équipe.</v>
      </c>
    </row>
    <row r="12" spans="1:10" ht="25.5" customHeight="1" x14ac:dyDescent="0.25">
      <c r="B12" s="54">
        <f>'👥 ÉQUIPES'!$B$10</f>
        <v>0</v>
      </c>
      <c r="C12" s="55">
        <f>COUNTIF('📋 SAISIE'!$C$7:$C$56,'👥 ÉQUIPES'!$B$10)</f>
        <v>0</v>
      </c>
      <c r="D12" s="56" t="str">
        <f>IFERROR(ROUND(AVERAGEIF('📋 SAISIE'!$C$7:$C$56,'👥 ÉQUIPES'!$B$10,'📋 SAISIE'!$AB$7:$AB$56),1),"—")</f>
        <v>—</v>
      </c>
      <c r="E12" s="57" t="str">
        <f>IFERROR(ROUND(AVERAGEIF('📋 SAISIE'!$C$7:$C$56,'👥 ÉQUIPES'!$B$10,'📋 SAISIE'!$AC$7:$AC$56),1),"—")</f>
        <v>—</v>
      </c>
      <c r="F12" s="55" t="str">
        <f>IFERROR(ROUND(AVERAGEIF('📋 SAISIE'!$C$7:$C$56,'👥 ÉQUIPES'!$B$10,'📋 SAISIE'!$AD$7:$AD$56),1),"—")</f>
        <v>—</v>
      </c>
      <c r="G12" s="46" t="str">
        <f>IFERROR(ROUND(AVERAGEIF('📋 SAISIE'!$C$7:$C$56,'👥 ÉQUIPES'!$B$10,'📋 SAISIE'!$AE$7:$AE$56),1),"—")</f>
        <v>—</v>
      </c>
      <c r="H12" s="58" t="str">
        <f t="shared" si="0"/>
        <v>—</v>
      </c>
      <c r="I12" s="47" t="str">
        <f t="shared" si="1"/>
        <v>⏳ Aucune intervention saisie pour cette équipe.</v>
      </c>
    </row>
    <row r="13" spans="1:10" ht="25.5" customHeight="1" x14ac:dyDescent="0.25">
      <c r="B13" s="49">
        <f>'👥 ÉQUIPES'!$B$11</f>
        <v>0</v>
      </c>
      <c r="C13" s="50">
        <f>COUNTIF('📋 SAISIE'!$C$7:$C$56,'👥 ÉQUIPES'!$B$11)</f>
        <v>0</v>
      </c>
      <c r="D13" s="51" t="str">
        <f>IFERROR(ROUND(AVERAGEIF('📋 SAISIE'!$C$7:$C$56,'👥 ÉQUIPES'!$B$11,'📋 SAISIE'!$AB$7:$AB$56),1),"—")</f>
        <v>—</v>
      </c>
      <c r="E13" s="52" t="str">
        <f>IFERROR(ROUND(AVERAGEIF('📋 SAISIE'!$C$7:$C$56,'👥 ÉQUIPES'!$B$11,'📋 SAISIE'!$AC$7:$AC$56),1),"—")</f>
        <v>—</v>
      </c>
      <c r="F13" s="50" t="str">
        <f>IFERROR(ROUND(AVERAGEIF('📋 SAISIE'!$C$7:$C$56,'👥 ÉQUIPES'!$B$11,'📋 SAISIE'!$AD$7:$AD$56),1),"—")</f>
        <v>—</v>
      </c>
      <c r="G13" s="34" t="str">
        <f>IFERROR(ROUND(AVERAGEIF('📋 SAISIE'!$C$7:$C$56,'👥 ÉQUIPES'!$B$11,'📋 SAISIE'!$AE$7:$AE$56),1),"—")</f>
        <v>—</v>
      </c>
      <c r="H13" s="53" t="str">
        <f t="shared" si="0"/>
        <v>—</v>
      </c>
      <c r="I13" s="35" t="str">
        <f t="shared" si="1"/>
        <v>⏳ Aucune intervention saisie pour cette équipe.</v>
      </c>
    </row>
    <row r="14" spans="1:10" ht="25.5" customHeight="1" x14ac:dyDescent="0.25">
      <c r="B14" s="54">
        <f>'👥 ÉQUIPES'!$B$12</f>
        <v>0</v>
      </c>
      <c r="C14" s="55">
        <f>COUNTIF('📋 SAISIE'!$C$7:$C$56,'👥 ÉQUIPES'!$B$12)</f>
        <v>0</v>
      </c>
      <c r="D14" s="56" t="str">
        <f>IFERROR(ROUND(AVERAGEIF('📋 SAISIE'!$C$7:$C$56,'👥 ÉQUIPES'!$B$12,'📋 SAISIE'!$AB$7:$AB$56),1),"—")</f>
        <v>—</v>
      </c>
      <c r="E14" s="57" t="str">
        <f>IFERROR(ROUND(AVERAGEIF('📋 SAISIE'!$C$7:$C$56,'👥 ÉQUIPES'!$B$12,'📋 SAISIE'!$AC$7:$AC$56),1),"—")</f>
        <v>—</v>
      </c>
      <c r="F14" s="55" t="str">
        <f>IFERROR(ROUND(AVERAGEIF('📋 SAISIE'!$C$7:$C$56,'👥 ÉQUIPES'!$B$12,'📋 SAISIE'!$AD$7:$AD$56),1),"—")</f>
        <v>—</v>
      </c>
      <c r="G14" s="46" t="str">
        <f>IFERROR(ROUND(AVERAGEIF('📋 SAISIE'!$C$7:$C$56,'👥 ÉQUIPES'!$B$12,'📋 SAISIE'!$AE$7:$AE$56),1),"—")</f>
        <v>—</v>
      </c>
      <c r="H14" s="58" t="str">
        <f t="shared" si="0"/>
        <v>—</v>
      </c>
      <c r="I14" s="47" t="str">
        <f t="shared" si="1"/>
        <v>⏳ Aucune intervention saisie pour cette équipe.</v>
      </c>
    </row>
    <row r="15" spans="1:10" ht="25.5" customHeight="1" x14ac:dyDescent="0.25">
      <c r="B15" s="49">
        <f>'👥 ÉQUIPES'!$B$13</f>
        <v>0</v>
      </c>
      <c r="C15" s="50">
        <f>COUNTIF('📋 SAISIE'!$C$7:$C$56,'👥 ÉQUIPES'!$B$13)</f>
        <v>0</v>
      </c>
      <c r="D15" s="51" t="str">
        <f>IFERROR(ROUND(AVERAGEIF('📋 SAISIE'!$C$7:$C$56,'👥 ÉQUIPES'!$B$13,'📋 SAISIE'!$AB$7:$AB$56),1),"—")</f>
        <v>—</v>
      </c>
      <c r="E15" s="52" t="str">
        <f>IFERROR(ROUND(AVERAGEIF('📋 SAISIE'!$C$7:$C$56,'👥 ÉQUIPES'!$B$13,'📋 SAISIE'!$AC$7:$AC$56),1),"—")</f>
        <v>—</v>
      </c>
      <c r="F15" s="50" t="str">
        <f>IFERROR(ROUND(AVERAGEIF('📋 SAISIE'!$C$7:$C$56,'👥 ÉQUIPES'!$B$13,'📋 SAISIE'!$AD$7:$AD$56),1),"—")</f>
        <v>—</v>
      </c>
      <c r="G15" s="34" t="str">
        <f>IFERROR(ROUND(AVERAGEIF('📋 SAISIE'!$C$7:$C$56,'👥 ÉQUIPES'!$B$13,'📋 SAISIE'!$AE$7:$AE$56),1),"—")</f>
        <v>—</v>
      </c>
      <c r="H15" s="53" t="str">
        <f t="shared" si="0"/>
        <v>—</v>
      </c>
      <c r="I15" s="35" t="str">
        <f t="shared" si="1"/>
        <v>⏳ Aucune intervention saisie pour cette équipe.</v>
      </c>
    </row>
    <row r="16" spans="1:10" ht="25.5" customHeight="1" x14ac:dyDescent="0.25">
      <c r="B16" s="54">
        <f>'👥 ÉQUIPES'!$B$14</f>
        <v>0</v>
      </c>
      <c r="C16" s="55">
        <f>COUNTIF('📋 SAISIE'!$C$7:$C$56,'👥 ÉQUIPES'!$B$14)</f>
        <v>0</v>
      </c>
      <c r="D16" s="56" t="str">
        <f>IFERROR(ROUND(AVERAGEIF('📋 SAISIE'!$C$7:$C$56,'👥 ÉQUIPES'!$B$14,'📋 SAISIE'!$AB$7:$AB$56),1),"—")</f>
        <v>—</v>
      </c>
      <c r="E16" s="57" t="str">
        <f>IFERROR(ROUND(AVERAGEIF('📋 SAISIE'!$C$7:$C$56,'👥 ÉQUIPES'!$B$14,'📋 SAISIE'!$AC$7:$AC$56),1),"—")</f>
        <v>—</v>
      </c>
      <c r="F16" s="55" t="str">
        <f>IFERROR(ROUND(AVERAGEIF('📋 SAISIE'!$C$7:$C$56,'👥 ÉQUIPES'!$B$14,'📋 SAISIE'!$AD$7:$AD$56),1),"—")</f>
        <v>—</v>
      </c>
      <c r="G16" s="46" t="str">
        <f>IFERROR(ROUND(AVERAGEIF('📋 SAISIE'!$C$7:$C$56,'👥 ÉQUIPES'!$B$14,'📋 SAISIE'!$AE$7:$AE$56),1),"—")</f>
        <v>—</v>
      </c>
      <c r="H16" s="58" t="str">
        <f t="shared" si="0"/>
        <v>—</v>
      </c>
      <c r="I16" s="47" t="str">
        <f t="shared" si="1"/>
        <v>⏳ Aucune intervention saisie pour cette équipe.</v>
      </c>
    </row>
    <row r="17" spans="2:9" ht="25.5" customHeight="1" x14ac:dyDescent="0.25">
      <c r="B17" s="49">
        <f>'👥 ÉQUIPES'!$B$15</f>
        <v>0</v>
      </c>
      <c r="C17" s="50">
        <f>COUNTIF('📋 SAISIE'!$C$7:$C$56,'👥 ÉQUIPES'!$B$15)</f>
        <v>0</v>
      </c>
      <c r="D17" s="51" t="str">
        <f>IFERROR(ROUND(AVERAGEIF('📋 SAISIE'!$C$7:$C$56,'👥 ÉQUIPES'!$B$15,'📋 SAISIE'!$AB$7:$AB$56),1),"—")</f>
        <v>—</v>
      </c>
      <c r="E17" s="52" t="str">
        <f>IFERROR(ROUND(AVERAGEIF('📋 SAISIE'!$C$7:$C$56,'👥 ÉQUIPES'!$B$15,'📋 SAISIE'!$AC$7:$AC$56),1),"—")</f>
        <v>—</v>
      </c>
      <c r="F17" s="50" t="str">
        <f>IFERROR(ROUND(AVERAGEIF('📋 SAISIE'!$C$7:$C$56,'👥 ÉQUIPES'!$B$15,'📋 SAISIE'!$AD$7:$AD$56),1),"—")</f>
        <v>—</v>
      </c>
      <c r="G17" s="34" t="str">
        <f>IFERROR(ROUND(AVERAGEIF('📋 SAISIE'!$C$7:$C$56,'👥 ÉQUIPES'!$B$15,'📋 SAISIE'!$AE$7:$AE$56),1),"—")</f>
        <v>—</v>
      </c>
      <c r="H17" s="53" t="str">
        <f t="shared" si="0"/>
        <v>—</v>
      </c>
      <c r="I17" s="35" t="str">
        <f t="shared" si="1"/>
        <v>⏳ Aucune intervention saisie pour cette équipe.</v>
      </c>
    </row>
    <row r="18" spans="2:9" ht="25.5" customHeight="1" x14ac:dyDescent="0.25">
      <c r="B18" s="54">
        <f>'👥 ÉQUIPES'!$B$16</f>
        <v>0</v>
      </c>
      <c r="C18" s="55">
        <f>COUNTIF('📋 SAISIE'!$C$7:$C$56,'👥 ÉQUIPES'!$B$16)</f>
        <v>0</v>
      </c>
      <c r="D18" s="56" t="str">
        <f>IFERROR(ROUND(AVERAGEIF('📋 SAISIE'!$C$7:$C$56,'👥 ÉQUIPES'!$B$16,'📋 SAISIE'!$AB$7:$AB$56),1),"—")</f>
        <v>—</v>
      </c>
      <c r="E18" s="57" t="str">
        <f>IFERROR(ROUND(AVERAGEIF('📋 SAISIE'!$C$7:$C$56,'👥 ÉQUIPES'!$B$16,'📋 SAISIE'!$AC$7:$AC$56),1),"—")</f>
        <v>—</v>
      </c>
      <c r="F18" s="55" t="str">
        <f>IFERROR(ROUND(AVERAGEIF('📋 SAISIE'!$C$7:$C$56,'👥 ÉQUIPES'!$B$16,'📋 SAISIE'!$AD$7:$AD$56),1),"—")</f>
        <v>—</v>
      </c>
      <c r="G18" s="46" t="str">
        <f>IFERROR(ROUND(AVERAGEIF('📋 SAISIE'!$C$7:$C$56,'👥 ÉQUIPES'!$B$16,'📋 SAISIE'!$AE$7:$AE$56),1),"—")</f>
        <v>—</v>
      </c>
      <c r="H18" s="58" t="str">
        <f t="shared" si="0"/>
        <v>—</v>
      </c>
      <c r="I18" s="47" t="str">
        <f t="shared" si="1"/>
        <v>⏳ Aucune intervention saisie pour cette équipe.</v>
      </c>
    </row>
    <row r="19" spans="2:9" ht="25.5" customHeight="1" x14ac:dyDescent="0.25">
      <c r="B19" s="49">
        <f>'👥 ÉQUIPES'!$B$17</f>
        <v>0</v>
      </c>
      <c r="C19" s="50">
        <f>COUNTIF('📋 SAISIE'!$C$7:$C$56,'👥 ÉQUIPES'!$B$17)</f>
        <v>0</v>
      </c>
      <c r="D19" s="51" t="str">
        <f>IFERROR(ROUND(AVERAGEIF('📋 SAISIE'!$C$7:$C$56,'👥 ÉQUIPES'!$B$17,'📋 SAISIE'!$AB$7:$AB$56),1),"—")</f>
        <v>—</v>
      </c>
      <c r="E19" s="52" t="str">
        <f>IFERROR(ROUND(AVERAGEIF('📋 SAISIE'!$C$7:$C$56,'👥 ÉQUIPES'!$B$17,'📋 SAISIE'!$AC$7:$AC$56),1),"—")</f>
        <v>—</v>
      </c>
      <c r="F19" s="50" t="str">
        <f>IFERROR(ROUND(AVERAGEIF('📋 SAISIE'!$C$7:$C$56,'👥 ÉQUIPES'!$B$17,'📋 SAISIE'!$AD$7:$AD$56),1),"—")</f>
        <v>—</v>
      </c>
      <c r="G19" s="34" t="str">
        <f>IFERROR(ROUND(AVERAGEIF('📋 SAISIE'!$C$7:$C$56,'👥 ÉQUIPES'!$B$17,'📋 SAISIE'!$AE$7:$AE$56),1),"—")</f>
        <v>—</v>
      </c>
      <c r="H19" s="53" t="str">
        <f t="shared" si="0"/>
        <v>—</v>
      </c>
      <c r="I19" s="35" t="str">
        <f t="shared" si="1"/>
        <v>⏳ Aucune intervention saisie pour cette équipe.</v>
      </c>
    </row>
    <row r="20" spans="2:9" ht="25.5" customHeight="1" x14ac:dyDescent="0.25">
      <c r="B20" s="54">
        <f>'👥 ÉQUIPES'!$B$18</f>
        <v>0</v>
      </c>
      <c r="C20" s="55">
        <f>COUNTIF('📋 SAISIE'!$C$7:$C$56,'👥 ÉQUIPES'!$B$18)</f>
        <v>0</v>
      </c>
      <c r="D20" s="56" t="str">
        <f>IFERROR(ROUND(AVERAGEIF('📋 SAISIE'!$C$7:$C$56,'👥 ÉQUIPES'!$B$18,'📋 SAISIE'!$AB$7:$AB$56),1),"—")</f>
        <v>—</v>
      </c>
      <c r="E20" s="57" t="str">
        <f>IFERROR(ROUND(AVERAGEIF('📋 SAISIE'!$C$7:$C$56,'👥 ÉQUIPES'!$B$18,'📋 SAISIE'!$AC$7:$AC$56),1),"—")</f>
        <v>—</v>
      </c>
      <c r="F20" s="55" t="str">
        <f>IFERROR(ROUND(AVERAGEIF('📋 SAISIE'!$C$7:$C$56,'👥 ÉQUIPES'!$B$18,'📋 SAISIE'!$AD$7:$AD$56),1),"—")</f>
        <v>—</v>
      </c>
      <c r="G20" s="46" t="str">
        <f>IFERROR(ROUND(AVERAGEIF('📋 SAISIE'!$C$7:$C$56,'👥 ÉQUIPES'!$B$18,'📋 SAISIE'!$AE$7:$AE$56),1),"—")</f>
        <v>—</v>
      </c>
      <c r="H20" s="58" t="str">
        <f t="shared" si="0"/>
        <v>—</v>
      </c>
      <c r="I20" s="47" t="str">
        <f t="shared" si="1"/>
        <v>⏳ Aucune intervention saisie pour cette équipe.</v>
      </c>
    </row>
    <row r="21" spans="2:9" ht="25.5" customHeight="1" x14ac:dyDescent="0.25">
      <c r="B21" s="49">
        <f>'👥 ÉQUIPES'!$B$19</f>
        <v>0</v>
      </c>
      <c r="C21" s="50">
        <f>COUNTIF('📋 SAISIE'!$C$7:$C$56,'👥 ÉQUIPES'!$B$19)</f>
        <v>0</v>
      </c>
      <c r="D21" s="51" t="str">
        <f>IFERROR(ROUND(AVERAGEIF('📋 SAISIE'!$C$7:$C$56,'👥 ÉQUIPES'!$B$19,'📋 SAISIE'!$AB$7:$AB$56),1),"—")</f>
        <v>—</v>
      </c>
      <c r="E21" s="52" t="str">
        <f>IFERROR(ROUND(AVERAGEIF('📋 SAISIE'!$C$7:$C$56,'👥 ÉQUIPES'!$B$19,'📋 SAISIE'!$AC$7:$AC$56),1),"—")</f>
        <v>—</v>
      </c>
      <c r="F21" s="50" t="str">
        <f>IFERROR(ROUND(AVERAGEIF('📋 SAISIE'!$C$7:$C$56,'👥 ÉQUIPES'!$B$19,'📋 SAISIE'!$AD$7:$AD$56),1),"—")</f>
        <v>—</v>
      </c>
      <c r="G21" s="34" t="str">
        <f>IFERROR(ROUND(AVERAGEIF('📋 SAISIE'!$C$7:$C$56,'👥 ÉQUIPES'!$B$19,'📋 SAISIE'!$AE$7:$AE$56),1),"—")</f>
        <v>—</v>
      </c>
      <c r="H21" s="53" t="str">
        <f t="shared" si="0"/>
        <v>—</v>
      </c>
      <c r="I21" s="35" t="str">
        <f t="shared" si="1"/>
        <v>⏳ Aucune intervention saisie pour cette équipe.</v>
      </c>
    </row>
    <row r="22" spans="2:9" ht="25.5" customHeight="1" x14ac:dyDescent="0.25">
      <c r="B22" s="54">
        <f>'👥 ÉQUIPES'!$B$20</f>
        <v>0</v>
      </c>
      <c r="C22" s="55">
        <f>COUNTIF('📋 SAISIE'!$C$7:$C$56,'👥 ÉQUIPES'!$B$20)</f>
        <v>0</v>
      </c>
      <c r="D22" s="56" t="str">
        <f>IFERROR(ROUND(AVERAGEIF('📋 SAISIE'!$C$7:$C$56,'👥 ÉQUIPES'!$B$20,'📋 SAISIE'!$AB$7:$AB$56),1),"—")</f>
        <v>—</v>
      </c>
      <c r="E22" s="57" t="str">
        <f>IFERROR(ROUND(AVERAGEIF('📋 SAISIE'!$C$7:$C$56,'👥 ÉQUIPES'!$B$20,'📋 SAISIE'!$AC$7:$AC$56),1),"—")</f>
        <v>—</v>
      </c>
      <c r="F22" s="55" t="str">
        <f>IFERROR(ROUND(AVERAGEIF('📋 SAISIE'!$C$7:$C$56,'👥 ÉQUIPES'!$B$20,'📋 SAISIE'!$AD$7:$AD$56),1),"—")</f>
        <v>—</v>
      </c>
      <c r="G22" s="46" t="str">
        <f>IFERROR(ROUND(AVERAGEIF('📋 SAISIE'!$C$7:$C$56,'👥 ÉQUIPES'!$B$20,'📋 SAISIE'!$AE$7:$AE$56),1),"—")</f>
        <v>—</v>
      </c>
      <c r="H22" s="58" t="str">
        <f t="shared" si="0"/>
        <v>—</v>
      </c>
      <c r="I22" s="47" t="str">
        <f t="shared" si="1"/>
        <v>⏳ Aucune intervention saisie pour cette équipe.</v>
      </c>
    </row>
    <row r="23" spans="2:9" ht="25.5" customHeight="1" x14ac:dyDescent="0.25">
      <c r="B23" s="49">
        <f>'👥 ÉQUIPES'!$B$21</f>
        <v>0</v>
      </c>
      <c r="C23" s="50">
        <f>COUNTIF('📋 SAISIE'!$C$7:$C$56,'👥 ÉQUIPES'!$B$21)</f>
        <v>0</v>
      </c>
      <c r="D23" s="51" t="str">
        <f>IFERROR(ROUND(AVERAGEIF('📋 SAISIE'!$C$7:$C$56,'👥 ÉQUIPES'!$B$21,'📋 SAISIE'!$AB$7:$AB$56),1),"—")</f>
        <v>—</v>
      </c>
      <c r="E23" s="52" t="str">
        <f>IFERROR(ROUND(AVERAGEIF('📋 SAISIE'!$C$7:$C$56,'👥 ÉQUIPES'!$B$21,'📋 SAISIE'!$AC$7:$AC$56),1),"—")</f>
        <v>—</v>
      </c>
      <c r="F23" s="50" t="str">
        <f>IFERROR(ROUND(AVERAGEIF('📋 SAISIE'!$C$7:$C$56,'👥 ÉQUIPES'!$B$21,'📋 SAISIE'!$AD$7:$AD$56),1),"—")</f>
        <v>—</v>
      </c>
      <c r="G23" s="34" t="str">
        <f>IFERROR(ROUND(AVERAGEIF('📋 SAISIE'!$C$7:$C$56,'👥 ÉQUIPES'!$B$21,'📋 SAISIE'!$AE$7:$AE$56),1),"—")</f>
        <v>—</v>
      </c>
      <c r="H23" s="53" t="str">
        <f t="shared" si="0"/>
        <v>—</v>
      </c>
      <c r="I23" s="35" t="str">
        <f t="shared" si="1"/>
        <v>⏳ Aucune intervention saisie pour cette équipe.</v>
      </c>
    </row>
    <row r="24" spans="2:9" ht="25.5" customHeight="1" x14ac:dyDescent="0.25">
      <c r="B24" s="54">
        <f>'👥 ÉQUIPES'!$B$22</f>
        <v>0</v>
      </c>
      <c r="C24" s="55">
        <f>COUNTIF('📋 SAISIE'!$C$7:$C$56,'👥 ÉQUIPES'!$B$22)</f>
        <v>0</v>
      </c>
      <c r="D24" s="56" t="str">
        <f>IFERROR(ROUND(AVERAGEIF('📋 SAISIE'!$C$7:$C$56,'👥 ÉQUIPES'!$B$22,'📋 SAISIE'!$AB$7:$AB$56),1),"—")</f>
        <v>—</v>
      </c>
      <c r="E24" s="57" t="str">
        <f>IFERROR(ROUND(AVERAGEIF('📋 SAISIE'!$C$7:$C$56,'👥 ÉQUIPES'!$B$22,'📋 SAISIE'!$AC$7:$AC$56),1),"—")</f>
        <v>—</v>
      </c>
      <c r="F24" s="55" t="str">
        <f>IFERROR(ROUND(AVERAGEIF('📋 SAISIE'!$C$7:$C$56,'👥 ÉQUIPES'!$B$22,'📋 SAISIE'!$AD$7:$AD$56),1),"—")</f>
        <v>—</v>
      </c>
      <c r="G24" s="46" t="str">
        <f>IFERROR(ROUND(AVERAGEIF('📋 SAISIE'!$C$7:$C$56,'👥 ÉQUIPES'!$B$22,'📋 SAISIE'!$AE$7:$AE$56),1),"—")</f>
        <v>—</v>
      </c>
      <c r="H24" s="58" t="str">
        <f t="shared" si="0"/>
        <v>—</v>
      </c>
      <c r="I24" s="47" t="str">
        <f t="shared" si="1"/>
        <v>⏳ Aucune intervention saisie pour cette équipe.</v>
      </c>
    </row>
    <row r="25" spans="2:9" ht="25.5" customHeight="1" x14ac:dyDescent="0.25">
      <c r="B25" s="49">
        <f>'👥 ÉQUIPES'!$B$23</f>
        <v>0</v>
      </c>
      <c r="C25" s="50">
        <f>COUNTIF('📋 SAISIE'!$C$7:$C$56,'👥 ÉQUIPES'!$B$23)</f>
        <v>0</v>
      </c>
      <c r="D25" s="51" t="str">
        <f>IFERROR(ROUND(AVERAGEIF('📋 SAISIE'!$C$7:$C$56,'👥 ÉQUIPES'!$B$23,'📋 SAISIE'!$AB$7:$AB$56),1),"—")</f>
        <v>—</v>
      </c>
      <c r="E25" s="52" t="str">
        <f>IFERROR(ROUND(AVERAGEIF('📋 SAISIE'!$C$7:$C$56,'👥 ÉQUIPES'!$B$23,'📋 SAISIE'!$AC$7:$AC$56),1),"—")</f>
        <v>—</v>
      </c>
      <c r="F25" s="50" t="str">
        <f>IFERROR(ROUND(AVERAGEIF('📋 SAISIE'!$C$7:$C$56,'👥 ÉQUIPES'!$B$23,'📋 SAISIE'!$AD$7:$AD$56),1),"—")</f>
        <v>—</v>
      </c>
      <c r="G25" s="34" t="str">
        <f>IFERROR(ROUND(AVERAGEIF('📋 SAISIE'!$C$7:$C$56,'👥 ÉQUIPES'!$B$23,'📋 SAISIE'!$AE$7:$AE$56),1),"—")</f>
        <v>—</v>
      </c>
      <c r="H25" s="53" t="str">
        <f t="shared" si="0"/>
        <v>—</v>
      </c>
      <c r="I25" s="35" t="str">
        <f t="shared" si="1"/>
        <v>⏳ Aucune intervention saisie pour cette équipe.</v>
      </c>
    </row>
    <row r="26" spans="2:9" ht="25.5" customHeight="1" x14ac:dyDescent="0.25">
      <c r="B26" s="54">
        <f>'👥 ÉQUIPES'!$B$24</f>
        <v>0</v>
      </c>
      <c r="C26" s="55">
        <f>COUNTIF('📋 SAISIE'!$C$7:$C$56,'👥 ÉQUIPES'!$B$24)</f>
        <v>0</v>
      </c>
      <c r="D26" s="56" t="str">
        <f>IFERROR(ROUND(AVERAGEIF('📋 SAISIE'!$C$7:$C$56,'👥 ÉQUIPES'!$B$24,'📋 SAISIE'!$AB$7:$AB$56),1),"—")</f>
        <v>—</v>
      </c>
      <c r="E26" s="57" t="str">
        <f>IFERROR(ROUND(AVERAGEIF('📋 SAISIE'!$C$7:$C$56,'👥 ÉQUIPES'!$B$24,'📋 SAISIE'!$AC$7:$AC$56),1),"—")</f>
        <v>—</v>
      </c>
      <c r="F26" s="55" t="str">
        <f>IFERROR(ROUND(AVERAGEIF('📋 SAISIE'!$C$7:$C$56,'👥 ÉQUIPES'!$B$24,'📋 SAISIE'!$AD$7:$AD$56),1),"—")</f>
        <v>—</v>
      </c>
      <c r="G26" s="46" t="str">
        <f>IFERROR(ROUND(AVERAGEIF('📋 SAISIE'!$C$7:$C$56,'👥 ÉQUIPES'!$B$24,'📋 SAISIE'!$AE$7:$AE$56),1),"—")</f>
        <v>—</v>
      </c>
      <c r="H26" s="58" t="str">
        <f t="shared" si="0"/>
        <v>—</v>
      </c>
      <c r="I26" s="47" t="str">
        <f t="shared" si="1"/>
        <v>⏳ Aucune intervention saisie pour cette équipe.</v>
      </c>
    </row>
  </sheetData>
  <mergeCells count="3">
    <mergeCell ref="A1:J1"/>
    <mergeCell ref="A2:J2"/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J27"/>
  <sheetViews>
    <sheetView showGridLines="0" zoomScaleNormal="100" workbookViewId="0">
      <selection sqref="A1:J1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3" width="16" customWidth="1"/>
    <col min="4" max="8" width="14" customWidth="1"/>
    <col min="9" max="9" width="40" customWidth="1"/>
    <col min="10" max="10" width="6" customWidth="1"/>
  </cols>
  <sheetData>
    <row r="1" spans="1:10" ht="33.75" customHeight="1" x14ac:dyDescent="0.25">
      <c r="A1" s="14" t="s">
        <v>65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9.5" customHeight="1" x14ac:dyDescent="0.25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7.5" customHeight="1" x14ac:dyDescent="0.25"/>
    <row r="4" spans="1:10" ht="25.5" customHeight="1" x14ac:dyDescent="0.25">
      <c r="A4" s="1" t="s">
        <v>67</v>
      </c>
      <c r="B4" s="1"/>
      <c r="C4" s="1"/>
      <c r="D4" s="59"/>
      <c r="E4" s="79" t="s">
        <v>68</v>
      </c>
      <c r="F4" s="79"/>
      <c r="G4" s="79"/>
      <c r="H4" s="79"/>
      <c r="I4" s="79"/>
      <c r="J4" s="79"/>
    </row>
    <row r="5" spans="1:10" ht="7.5" customHeight="1" x14ac:dyDescent="0.25"/>
    <row r="6" spans="1:10" ht="25.5" customHeight="1" x14ac:dyDescent="0.25">
      <c r="A6" s="80" t="s">
        <v>69</v>
      </c>
      <c r="B6" s="80"/>
      <c r="C6" s="80"/>
      <c r="D6" s="80"/>
      <c r="E6" s="80"/>
      <c r="F6" s="80"/>
      <c r="G6" s="80"/>
      <c r="H6" s="80"/>
      <c r="I6" s="80"/>
      <c r="J6" s="80"/>
    </row>
    <row r="7" spans="1:10" ht="36" customHeight="1" x14ac:dyDescent="0.25">
      <c r="B7" s="15" t="s">
        <v>57</v>
      </c>
      <c r="C7" s="15" t="s">
        <v>70</v>
      </c>
      <c r="D7" s="20" t="s">
        <v>71</v>
      </c>
      <c r="E7" s="21" t="s">
        <v>72</v>
      </c>
      <c r="F7" s="23" t="s">
        <v>73</v>
      </c>
      <c r="G7" s="23" t="s">
        <v>74</v>
      </c>
      <c r="H7" s="22" t="s">
        <v>75</v>
      </c>
      <c r="I7" s="24" t="s">
        <v>76</v>
      </c>
    </row>
    <row r="8" spans="1:10" ht="25.5" customHeight="1" x14ac:dyDescent="0.25">
      <c r="B8" s="49" t="str">
        <f>'👥 ÉQUIPES'!$B$5</f>
        <v>Équipe A</v>
      </c>
      <c r="C8" s="50" t="str">
        <f>IF($D$4="","—",COUNTIFS('📋 SAISIE'!$C$7:$C$56,'👥 ÉQUIPES'!$B$5,'📋 SAISIE'!$B$7:$B$56,$D$4))</f>
        <v>—</v>
      </c>
      <c r="D8" s="51" t="str">
        <f>IF($D$4="","—",IFERROR(ROUND(AVERAGEIFS('📋 SAISIE'!$AB$7:$AB$56,'📋 SAISIE'!$C$7:$C$56,'👥 ÉQUIPES'!$B$5,'📋 SAISIE'!$B$7:$B$56,$D$4),1),"—"))</f>
        <v>—</v>
      </c>
      <c r="E8" s="52" t="str">
        <f>IF($D$4="","—",IFERROR(ROUND(AVERAGEIFS('📋 SAISIE'!$AC$7:$AC$56,'📋 SAISIE'!$C$7:$C$56,'👥 ÉQUIPES'!$B$5,'📋 SAISIE'!$B$7:$B$56,$D$4),1),"—"))</f>
        <v>—</v>
      </c>
      <c r="F8" s="34" t="str">
        <f>IF($D$4="","—",IFERROR(ROUND(AVERAGEIFS('📋 SAISIE'!$AE$7:$AE$56,'📋 SAISIE'!$C$7:$C$56,'👥 ÉQUIPES'!$B$5,'📋 SAISIE'!$B$7:$B$56,$D$4),1),"—"))</f>
        <v>—</v>
      </c>
      <c r="G8" s="53" t="str">
        <f t="shared" ref="G8:G27" si="0">IF(F8="—","—",IF(F8&gt;=85,"A",IF(F8&gt;=70,"B",IF(F8&gt;=50,"C","D"))))</f>
        <v>—</v>
      </c>
      <c r="H8" s="60" t="str">
        <f>IF(F8="—","—",IF('📊 TABLEAU DE BORD'!G7="—","—",IF(F8&gt;'📊 TABLEAU DE BORD'!G7,"📈 +"&amp;ROUND(F8-'📊 TABLEAU DE BORD'!G7,1)&amp;" vs moy.",IF(F8&lt;'📊 TABLEAU DE BORD'!G7,"📉 "&amp;ROUND(F8-'📊 TABLEAU DE BORD'!G7,1)&amp;" vs moy.","➡️ = Moy."))))</f>
        <v>—</v>
      </c>
      <c r="I8" s="35" t="str">
        <f t="shared" ref="I8:I27" si="1">IF(OR(F8="—",C8="—"),"⏳ Sélectionnez une date pour voir le verdict.",IF(C8=0,"⏳ Aucune intervention ce jour pour cette équipe.",IF(F8&gt;=85,"🏆 EXCELLENT – "&amp;B8&amp;" : "&amp;C8&amp;" interv. – Moy "&amp;ROUND(F8,1)&amp;"/100. Équipe au top !",IF(F8&gt;=70,"✅ BON NIVEAU – "&amp;B8&amp;" : "&amp;C8&amp;" interv. – Moy "&amp;ROUND(F8,1)&amp;"/100. Axes d'amélioration ciblés.",IF(F8&gt;=50,"⚠️ PASSABLE – "&amp;B8&amp;" : "&amp;C8&amp;" interv. – Moy "&amp;ROUND(F8,1)&amp;"/100. Formation recommandée.","🚨 INSUFFISANT – "&amp;B8&amp;" : "&amp;C8&amp;" interv. – Moy "&amp;ROUND(F8,1)&amp;"/100. Action URGENTE.")))))</f>
        <v>⏳ Sélectionnez une date pour voir le verdict.</v>
      </c>
    </row>
    <row r="9" spans="1:10" ht="25.5" customHeight="1" x14ac:dyDescent="0.25">
      <c r="B9" s="54" t="str">
        <f>'👥 ÉQUIPES'!$B$6</f>
        <v>Équipe B</v>
      </c>
      <c r="C9" s="55" t="str">
        <f>IF($D$4="","—",COUNTIFS('📋 SAISIE'!$C$7:$C$56,'👥 ÉQUIPES'!$B$6,'📋 SAISIE'!$B$7:$B$56,$D$4))</f>
        <v>—</v>
      </c>
      <c r="D9" s="56" t="str">
        <f>IF($D$4="","—",IFERROR(ROUND(AVERAGEIFS('📋 SAISIE'!$AB$7:$AB$56,'📋 SAISIE'!$C$7:$C$56,'👥 ÉQUIPES'!$B$6,'📋 SAISIE'!$B$7:$B$56,$D$4),1),"—"))</f>
        <v>—</v>
      </c>
      <c r="E9" s="57" t="str">
        <f>IF($D$4="","—",IFERROR(ROUND(AVERAGEIFS('📋 SAISIE'!$AC$7:$AC$56,'📋 SAISIE'!$C$7:$C$56,'👥 ÉQUIPES'!$B$6,'📋 SAISIE'!$B$7:$B$56,$D$4),1),"—"))</f>
        <v>—</v>
      </c>
      <c r="F9" s="46" t="str">
        <f>IF($D$4="","—",IFERROR(ROUND(AVERAGEIFS('📋 SAISIE'!$AE$7:$AE$56,'📋 SAISIE'!$C$7:$C$56,'👥 ÉQUIPES'!$B$6,'📋 SAISIE'!$B$7:$B$56,$D$4),1),"—"))</f>
        <v>—</v>
      </c>
      <c r="G9" s="58" t="str">
        <f t="shared" si="0"/>
        <v>—</v>
      </c>
      <c r="H9" s="61" t="str">
        <f>IF(F9="—","—",IF('📊 TABLEAU DE BORD'!G8="—","—",IF(F9&gt;'📊 TABLEAU DE BORD'!G8,"📈 +"&amp;ROUND(F9-'📊 TABLEAU DE BORD'!G8,1)&amp;" vs moy.",IF(F9&lt;'📊 TABLEAU DE BORD'!G8,"📉 "&amp;ROUND(F9-'📊 TABLEAU DE BORD'!G8,1)&amp;" vs moy.","➡️ = Moy."))))</f>
        <v>—</v>
      </c>
      <c r="I9" s="47" t="str">
        <f t="shared" si="1"/>
        <v>⏳ Sélectionnez une date pour voir le verdict.</v>
      </c>
    </row>
    <row r="10" spans="1:10" ht="25.5" customHeight="1" x14ac:dyDescent="0.25">
      <c r="B10" s="49" t="str">
        <f>'👥 ÉQUIPES'!$B$7</f>
        <v>Équipe C</v>
      </c>
      <c r="C10" s="50" t="str">
        <f>IF($D$4="","—",COUNTIFS('📋 SAISIE'!$C$7:$C$56,'👥 ÉQUIPES'!$B$7,'📋 SAISIE'!$B$7:$B$56,$D$4))</f>
        <v>—</v>
      </c>
      <c r="D10" s="51" t="str">
        <f>IF($D$4="","—",IFERROR(ROUND(AVERAGEIFS('📋 SAISIE'!$AB$7:$AB$56,'📋 SAISIE'!$C$7:$C$56,'👥 ÉQUIPES'!$B$7,'📋 SAISIE'!$B$7:$B$56,$D$4),1),"—"))</f>
        <v>—</v>
      </c>
      <c r="E10" s="52" t="str">
        <f>IF($D$4="","—",IFERROR(ROUND(AVERAGEIFS('📋 SAISIE'!$AC$7:$AC$56,'📋 SAISIE'!$C$7:$C$56,'👥 ÉQUIPES'!$B$7,'📋 SAISIE'!$B$7:$B$56,$D$4),1),"—"))</f>
        <v>—</v>
      </c>
      <c r="F10" s="34" t="str">
        <f>IF($D$4="","—",IFERROR(ROUND(AVERAGEIFS('📋 SAISIE'!$AE$7:$AE$56,'📋 SAISIE'!$C$7:$C$56,'👥 ÉQUIPES'!$B$7,'📋 SAISIE'!$B$7:$B$56,$D$4),1),"—"))</f>
        <v>—</v>
      </c>
      <c r="G10" s="53" t="str">
        <f t="shared" si="0"/>
        <v>—</v>
      </c>
      <c r="H10" s="60" t="str">
        <f>IF(F10="—","—",IF('📊 TABLEAU DE BORD'!G9="—","—",IF(F10&gt;'📊 TABLEAU DE BORD'!G9,"📈 +"&amp;ROUND(F10-'📊 TABLEAU DE BORD'!G9,1)&amp;" vs moy.",IF(F10&lt;'📊 TABLEAU DE BORD'!G9,"📉 "&amp;ROUND(F10-'📊 TABLEAU DE BORD'!G9,1)&amp;" vs moy.","➡️ = Moy."))))</f>
        <v>—</v>
      </c>
      <c r="I10" s="35" t="str">
        <f t="shared" si="1"/>
        <v>⏳ Sélectionnez une date pour voir le verdict.</v>
      </c>
    </row>
    <row r="11" spans="1:10" ht="25.5" customHeight="1" x14ac:dyDescent="0.25">
      <c r="B11" s="54" t="str">
        <f>'👥 ÉQUIPES'!$B$8</f>
        <v>Équipe D</v>
      </c>
      <c r="C11" s="55" t="str">
        <f>IF($D$4="","—",COUNTIFS('📋 SAISIE'!$C$7:$C$56,'👥 ÉQUIPES'!$B$8,'📋 SAISIE'!$B$7:$B$56,$D$4))</f>
        <v>—</v>
      </c>
      <c r="D11" s="56" t="str">
        <f>IF($D$4="","—",IFERROR(ROUND(AVERAGEIFS('📋 SAISIE'!$AB$7:$AB$56,'📋 SAISIE'!$C$7:$C$56,'👥 ÉQUIPES'!$B$8,'📋 SAISIE'!$B$7:$B$56,$D$4),1),"—"))</f>
        <v>—</v>
      </c>
      <c r="E11" s="57" t="str">
        <f>IF($D$4="","—",IFERROR(ROUND(AVERAGEIFS('📋 SAISIE'!$AC$7:$AC$56,'📋 SAISIE'!$C$7:$C$56,'👥 ÉQUIPES'!$B$8,'📋 SAISIE'!$B$7:$B$56,$D$4),1),"—"))</f>
        <v>—</v>
      </c>
      <c r="F11" s="46" t="str">
        <f>IF($D$4="","—",IFERROR(ROUND(AVERAGEIFS('📋 SAISIE'!$AE$7:$AE$56,'📋 SAISIE'!$C$7:$C$56,'👥 ÉQUIPES'!$B$8,'📋 SAISIE'!$B$7:$B$56,$D$4),1),"—"))</f>
        <v>—</v>
      </c>
      <c r="G11" s="58" t="str">
        <f t="shared" si="0"/>
        <v>—</v>
      </c>
      <c r="H11" s="61" t="str">
        <f>IF(F11="—","—",IF('📊 TABLEAU DE BORD'!G10="—","—",IF(F11&gt;'📊 TABLEAU DE BORD'!G10,"📈 +"&amp;ROUND(F11-'📊 TABLEAU DE BORD'!G10,1)&amp;" vs moy.",IF(F11&lt;'📊 TABLEAU DE BORD'!G10,"📉 "&amp;ROUND(F11-'📊 TABLEAU DE BORD'!G10,1)&amp;" vs moy.","➡️ = Moy."))))</f>
        <v>—</v>
      </c>
      <c r="I11" s="47" t="str">
        <f t="shared" si="1"/>
        <v>⏳ Sélectionnez une date pour voir le verdict.</v>
      </c>
    </row>
    <row r="12" spans="1:10" ht="25.5" customHeight="1" x14ac:dyDescent="0.25">
      <c r="B12" s="49" t="str">
        <f>'👥 ÉQUIPES'!$B$9</f>
        <v>Équipe E</v>
      </c>
      <c r="C12" s="50" t="str">
        <f>IF($D$4="","—",COUNTIFS('📋 SAISIE'!$C$7:$C$56,'👥 ÉQUIPES'!$B$9,'📋 SAISIE'!$B$7:$B$56,$D$4))</f>
        <v>—</v>
      </c>
      <c r="D12" s="51" t="str">
        <f>IF($D$4="","—",IFERROR(ROUND(AVERAGEIFS('📋 SAISIE'!$AB$7:$AB$56,'📋 SAISIE'!$C$7:$C$56,'👥 ÉQUIPES'!$B$9,'📋 SAISIE'!$B$7:$B$56,$D$4),1),"—"))</f>
        <v>—</v>
      </c>
      <c r="E12" s="52" t="str">
        <f>IF($D$4="","—",IFERROR(ROUND(AVERAGEIFS('📋 SAISIE'!$AC$7:$AC$56,'📋 SAISIE'!$C$7:$C$56,'👥 ÉQUIPES'!$B$9,'📋 SAISIE'!$B$7:$B$56,$D$4),1),"—"))</f>
        <v>—</v>
      </c>
      <c r="F12" s="34" t="str">
        <f>IF($D$4="","—",IFERROR(ROUND(AVERAGEIFS('📋 SAISIE'!$AE$7:$AE$56,'📋 SAISIE'!$C$7:$C$56,'👥 ÉQUIPES'!$B$9,'📋 SAISIE'!$B$7:$B$56,$D$4),1),"—"))</f>
        <v>—</v>
      </c>
      <c r="G12" s="53" t="str">
        <f t="shared" si="0"/>
        <v>—</v>
      </c>
      <c r="H12" s="60" t="str">
        <f>IF(F12="—","—",IF('📊 TABLEAU DE BORD'!G11="—","—",IF(F12&gt;'📊 TABLEAU DE BORD'!G11,"📈 +"&amp;ROUND(F12-'📊 TABLEAU DE BORD'!G11,1)&amp;" vs moy.",IF(F12&lt;'📊 TABLEAU DE BORD'!G11,"📉 "&amp;ROUND(F12-'📊 TABLEAU DE BORD'!G11,1)&amp;" vs moy.","➡️ = Moy."))))</f>
        <v>—</v>
      </c>
      <c r="I12" s="35" t="str">
        <f t="shared" si="1"/>
        <v>⏳ Sélectionnez une date pour voir le verdict.</v>
      </c>
    </row>
    <row r="13" spans="1:10" ht="25.5" customHeight="1" x14ac:dyDescent="0.25">
      <c r="B13" s="54">
        <f>'👥 ÉQUIPES'!$B$10</f>
        <v>0</v>
      </c>
      <c r="C13" s="55" t="str">
        <f>IF($D$4="","—",COUNTIFS('📋 SAISIE'!$C$7:$C$56,'👥 ÉQUIPES'!$B$10,'📋 SAISIE'!$B$7:$B$56,$D$4))</f>
        <v>—</v>
      </c>
      <c r="D13" s="56" t="str">
        <f>IF($D$4="","—",IFERROR(ROUND(AVERAGEIFS('📋 SAISIE'!$AB$7:$AB$56,'📋 SAISIE'!$C$7:$C$56,'👥 ÉQUIPES'!$B$10,'📋 SAISIE'!$B$7:$B$56,$D$4),1),"—"))</f>
        <v>—</v>
      </c>
      <c r="E13" s="57" t="str">
        <f>IF($D$4="","—",IFERROR(ROUND(AVERAGEIFS('📋 SAISIE'!$AC$7:$AC$56,'📋 SAISIE'!$C$7:$C$56,'👥 ÉQUIPES'!$B$10,'📋 SAISIE'!$B$7:$B$56,$D$4),1),"—"))</f>
        <v>—</v>
      </c>
      <c r="F13" s="46" t="str">
        <f>IF($D$4="","—",IFERROR(ROUND(AVERAGEIFS('📋 SAISIE'!$AE$7:$AE$56,'📋 SAISIE'!$C$7:$C$56,'👥 ÉQUIPES'!$B$10,'📋 SAISIE'!$B$7:$B$56,$D$4),1),"—"))</f>
        <v>—</v>
      </c>
      <c r="G13" s="58" t="str">
        <f t="shared" si="0"/>
        <v>—</v>
      </c>
      <c r="H13" s="61" t="str">
        <f>IF(F13="—","—",IF('📊 TABLEAU DE BORD'!G12="—","—",IF(F13&gt;'📊 TABLEAU DE BORD'!G12,"📈 +"&amp;ROUND(F13-'📊 TABLEAU DE BORD'!G12,1)&amp;" vs moy.",IF(F13&lt;'📊 TABLEAU DE BORD'!G12,"📉 "&amp;ROUND(F13-'📊 TABLEAU DE BORD'!G12,1)&amp;" vs moy.","➡️ = Moy."))))</f>
        <v>—</v>
      </c>
      <c r="I13" s="47" t="str">
        <f t="shared" si="1"/>
        <v>⏳ Sélectionnez une date pour voir le verdict.</v>
      </c>
    </row>
    <row r="14" spans="1:10" ht="25.5" customHeight="1" x14ac:dyDescent="0.25">
      <c r="B14" s="49">
        <f>'👥 ÉQUIPES'!$B$11</f>
        <v>0</v>
      </c>
      <c r="C14" s="50" t="str">
        <f>IF($D$4="","—",COUNTIFS('📋 SAISIE'!$C$7:$C$56,'👥 ÉQUIPES'!$B$11,'📋 SAISIE'!$B$7:$B$56,$D$4))</f>
        <v>—</v>
      </c>
      <c r="D14" s="51" t="str">
        <f>IF($D$4="","—",IFERROR(ROUND(AVERAGEIFS('📋 SAISIE'!$AB$7:$AB$56,'📋 SAISIE'!$C$7:$C$56,'👥 ÉQUIPES'!$B$11,'📋 SAISIE'!$B$7:$B$56,$D$4),1),"—"))</f>
        <v>—</v>
      </c>
      <c r="E14" s="52" t="str">
        <f>IF($D$4="","—",IFERROR(ROUND(AVERAGEIFS('📋 SAISIE'!$AC$7:$AC$56,'📋 SAISIE'!$C$7:$C$56,'👥 ÉQUIPES'!$B$11,'📋 SAISIE'!$B$7:$B$56,$D$4),1),"—"))</f>
        <v>—</v>
      </c>
      <c r="F14" s="34" t="str">
        <f>IF($D$4="","—",IFERROR(ROUND(AVERAGEIFS('📋 SAISIE'!$AE$7:$AE$56,'📋 SAISIE'!$C$7:$C$56,'👥 ÉQUIPES'!$B$11,'📋 SAISIE'!$B$7:$B$56,$D$4),1),"—"))</f>
        <v>—</v>
      </c>
      <c r="G14" s="53" t="str">
        <f t="shared" si="0"/>
        <v>—</v>
      </c>
      <c r="H14" s="60" t="str">
        <f>IF(F14="—","—",IF('📊 TABLEAU DE BORD'!G13="—","—",IF(F14&gt;'📊 TABLEAU DE BORD'!G13,"📈 +"&amp;ROUND(F14-'📊 TABLEAU DE BORD'!G13,1)&amp;" vs moy.",IF(F14&lt;'📊 TABLEAU DE BORD'!G13,"📉 "&amp;ROUND(F14-'📊 TABLEAU DE BORD'!G13,1)&amp;" vs moy.","➡️ = Moy."))))</f>
        <v>—</v>
      </c>
      <c r="I14" s="35" t="str">
        <f t="shared" si="1"/>
        <v>⏳ Sélectionnez une date pour voir le verdict.</v>
      </c>
    </row>
    <row r="15" spans="1:10" ht="25.5" customHeight="1" x14ac:dyDescent="0.25">
      <c r="B15" s="54">
        <f>'👥 ÉQUIPES'!$B$12</f>
        <v>0</v>
      </c>
      <c r="C15" s="55" t="str">
        <f>IF($D$4="","—",COUNTIFS('📋 SAISIE'!$C$7:$C$56,'👥 ÉQUIPES'!$B$12,'📋 SAISIE'!$B$7:$B$56,$D$4))</f>
        <v>—</v>
      </c>
      <c r="D15" s="56" t="str">
        <f>IF($D$4="","—",IFERROR(ROUND(AVERAGEIFS('📋 SAISIE'!$AB$7:$AB$56,'📋 SAISIE'!$C$7:$C$56,'👥 ÉQUIPES'!$B$12,'📋 SAISIE'!$B$7:$B$56,$D$4),1),"—"))</f>
        <v>—</v>
      </c>
      <c r="E15" s="57" t="str">
        <f>IF($D$4="","—",IFERROR(ROUND(AVERAGEIFS('📋 SAISIE'!$AC$7:$AC$56,'📋 SAISIE'!$C$7:$C$56,'👥 ÉQUIPES'!$B$12,'📋 SAISIE'!$B$7:$B$56,$D$4),1),"—"))</f>
        <v>—</v>
      </c>
      <c r="F15" s="46" t="str">
        <f>IF($D$4="","—",IFERROR(ROUND(AVERAGEIFS('📋 SAISIE'!$AE$7:$AE$56,'📋 SAISIE'!$C$7:$C$56,'👥 ÉQUIPES'!$B$12,'📋 SAISIE'!$B$7:$B$56,$D$4),1),"—"))</f>
        <v>—</v>
      </c>
      <c r="G15" s="58" t="str">
        <f t="shared" si="0"/>
        <v>—</v>
      </c>
      <c r="H15" s="61" t="str">
        <f>IF(F15="—","—",IF('📊 TABLEAU DE BORD'!G14="—","—",IF(F15&gt;'📊 TABLEAU DE BORD'!G14,"📈 +"&amp;ROUND(F15-'📊 TABLEAU DE BORD'!G14,1)&amp;" vs moy.",IF(F15&lt;'📊 TABLEAU DE BORD'!G14,"📉 "&amp;ROUND(F15-'📊 TABLEAU DE BORD'!G14,1)&amp;" vs moy.","➡️ = Moy."))))</f>
        <v>—</v>
      </c>
      <c r="I15" s="47" t="str">
        <f t="shared" si="1"/>
        <v>⏳ Sélectionnez une date pour voir le verdict.</v>
      </c>
    </row>
    <row r="16" spans="1:10" ht="25.5" customHeight="1" x14ac:dyDescent="0.25">
      <c r="B16" s="49">
        <f>'👥 ÉQUIPES'!$B$13</f>
        <v>0</v>
      </c>
      <c r="C16" s="50" t="str">
        <f>IF($D$4="","—",COUNTIFS('📋 SAISIE'!$C$7:$C$56,'👥 ÉQUIPES'!$B$13,'📋 SAISIE'!$B$7:$B$56,$D$4))</f>
        <v>—</v>
      </c>
      <c r="D16" s="51" t="str">
        <f>IF($D$4="","—",IFERROR(ROUND(AVERAGEIFS('📋 SAISIE'!$AB$7:$AB$56,'📋 SAISIE'!$C$7:$C$56,'👥 ÉQUIPES'!$B$13,'📋 SAISIE'!$B$7:$B$56,$D$4),1),"—"))</f>
        <v>—</v>
      </c>
      <c r="E16" s="52" t="str">
        <f>IF($D$4="","—",IFERROR(ROUND(AVERAGEIFS('📋 SAISIE'!$AC$7:$AC$56,'📋 SAISIE'!$C$7:$C$56,'👥 ÉQUIPES'!$B$13,'📋 SAISIE'!$B$7:$B$56,$D$4),1),"—"))</f>
        <v>—</v>
      </c>
      <c r="F16" s="34" t="str">
        <f>IF($D$4="","—",IFERROR(ROUND(AVERAGEIFS('📋 SAISIE'!$AE$7:$AE$56,'📋 SAISIE'!$C$7:$C$56,'👥 ÉQUIPES'!$B$13,'📋 SAISIE'!$B$7:$B$56,$D$4),1),"—"))</f>
        <v>—</v>
      </c>
      <c r="G16" s="53" t="str">
        <f t="shared" si="0"/>
        <v>—</v>
      </c>
      <c r="H16" s="60" t="str">
        <f>IF(F16="—","—",IF('📊 TABLEAU DE BORD'!G15="—","—",IF(F16&gt;'📊 TABLEAU DE BORD'!G15,"📈 +"&amp;ROUND(F16-'📊 TABLEAU DE BORD'!G15,1)&amp;" vs moy.",IF(F16&lt;'📊 TABLEAU DE BORD'!G15,"📉 "&amp;ROUND(F16-'📊 TABLEAU DE BORD'!G15,1)&amp;" vs moy.","➡️ = Moy."))))</f>
        <v>—</v>
      </c>
      <c r="I16" s="35" t="str">
        <f t="shared" si="1"/>
        <v>⏳ Sélectionnez une date pour voir le verdict.</v>
      </c>
    </row>
    <row r="17" spans="2:9" ht="25.5" customHeight="1" x14ac:dyDescent="0.25">
      <c r="B17" s="54">
        <f>'👥 ÉQUIPES'!$B$14</f>
        <v>0</v>
      </c>
      <c r="C17" s="55" t="str">
        <f>IF($D$4="","—",COUNTIFS('📋 SAISIE'!$C$7:$C$56,'👥 ÉQUIPES'!$B$14,'📋 SAISIE'!$B$7:$B$56,$D$4))</f>
        <v>—</v>
      </c>
      <c r="D17" s="56" t="str">
        <f>IF($D$4="","—",IFERROR(ROUND(AVERAGEIFS('📋 SAISIE'!$AB$7:$AB$56,'📋 SAISIE'!$C$7:$C$56,'👥 ÉQUIPES'!$B$14,'📋 SAISIE'!$B$7:$B$56,$D$4),1),"—"))</f>
        <v>—</v>
      </c>
      <c r="E17" s="57" t="str">
        <f>IF($D$4="","—",IFERROR(ROUND(AVERAGEIFS('📋 SAISIE'!$AC$7:$AC$56,'📋 SAISIE'!$C$7:$C$56,'👥 ÉQUIPES'!$B$14,'📋 SAISIE'!$B$7:$B$56,$D$4),1),"—"))</f>
        <v>—</v>
      </c>
      <c r="F17" s="46" t="str">
        <f>IF($D$4="","—",IFERROR(ROUND(AVERAGEIFS('📋 SAISIE'!$AE$7:$AE$56,'📋 SAISIE'!$C$7:$C$56,'👥 ÉQUIPES'!$B$14,'📋 SAISIE'!$B$7:$B$56,$D$4),1),"—"))</f>
        <v>—</v>
      </c>
      <c r="G17" s="58" t="str">
        <f t="shared" si="0"/>
        <v>—</v>
      </c>
      <c r="H17" s="61" t="str">
        <f>IF(F17="—","—",IF('📊 TABLEAU DE BORD'!G16="—","—",IF(F17&gt;'📊 TABLEAU DE BORD'!G16,"📈 +"&amp;ROUND(F17-'📊 TABLEAU DE BORD'!G16,1)&amp;" vs moy.",IF(F17&lt;'📊 TABLEAU DE BORD'!G16,"📉 "&amp;ROUND(F17-'📊 TABLEAU DE BORD'!G16,1)&amp;" vs moy.","➡️ = Moy."))))</f>
        <v>—</v>
      </c>
      <c r="I17" s="47" t="str">
        <f t="shared" si="1"/>
        <v>⏳ Sélectionnez une date pour voir le verdict.</v>
      </c>
    </row>
    <row r="18" spans="2:9" ht="25.5" customHeight="1" x14ac:dyDescent="0.25">
      <c r="B18" s="49">
        <f>'👥 ÉQUIPES'!$B$15</f>
        <v>0</v>
      </c>
      <c r="C18" s="50" t="str">
        <f>IF($D$4="","—",COUNTIFS('📋 SAISIE'!$C$7:$C$56,'👥 ÉQUIPES'!$B$15,'📋 SAISIE'!$B$7:$B$56,$D$4))</f>
        <v>—</v>
      </c>
      <c r="D18" s="51" t="str">
        <f>IF($D$4="","—",IFERROR(ROUND(AVERAGEIFS('📋 SAISIE'!$AB$7:$AB$56,'📋 SAISIE'!$C$7:$C$56,'👥 ÉQUIPES'!$B$15,'📋 SAISIE'!$B$7:$B$56,$D$4),1),"—"))</f>
        <v>—</v>
      </c>
      <c r="E18" s="52" t="str">
        <f>IF($D$4="","—",IFERROR(ROUND(AVERAGEIFS('📋 SAISIE'!$AC$7:$AC$56,'📋 SAISIE'!$C$7:$C$56,'👥 ÉQUIPES'!$B$15,'📋 SAISIE'!$B$7:$B$56,$D$4),1),"—"))</f>
        <v>—</v>
      </c>
      <c r="F18" s="34" t="str">
        <f>IF($D$4="","—",IFERROR(ROUND(AVERAGEIFS('📋 SAISIE'!$AE$7:$AE$56,'📋 SAISIE'!$C$7:$C$56,'👥 ÉQUIPES'!$B$15,'📋 SAISIE'!$B$7:$B$56,$D$4),1),"—"))</f>
        <v>—</v>
      </c>
      <c r="G18" s="53" t="str">
        <f t="shared" si="0"/>
        <v>—</v>
      </c>
      <c r="H18" s="60" t="str">
        <f>IF(F18="—","—",IF('📊 TABLEAU DE BORD'!G17="—","—",IF(F18&gt;'📊 TABLEAU DE BORD'!G17,"📈 +"&amp;ROUND(F18-'📊 TABLEAU DE BORD'!G17,1)&amp;" vs moy.",IF(F18&lt;'📊 TABLEAU DE BORD'!G17,"📉 "&amp;ROUND(F18-'📊 TABLEAU DE BORD'!G17,1)&amp;" vs moy.","➡️ = Moy."))))</f>
        <v>—</v>
      </c>
      <c r="I18" s="35" t="str">
        <f t="shared" si="1"/>
        <v>⏳ Sélectionnez une date pour voir le verdict.</v>
      </c>
    </row>
    <row r="19" spans="2:9" ht="25.5" customHeight="1" x14ac:dyDescent="0.25">
      <c r="B19" s="54">
        <f>'👥 ÉQUIPES'!$B$16</f>
        <v>0</v>
      </c>
      <c r="C19" s="55" t="str">
        <f>IF($D$4="","—",COUNTIFS('📋 SAISIE'!$C$7:$C$56,'👥 ÉQUIPES'!$B$16,'📋 SAISIE'!$B$7:$B$56,$D$4))</f>
        <v>—</v>
      </c>
      <c r="D19" s="56" t="str">
        <f>IF($D$4="","—",IFERROR(ROUND(AVERAGEIFS('📋 SAISIE'!$AB$7:$AB$56,'📋 SAISIE'!$C$7:$C$56,'👥 ÉQUIPES'!$B$16,'📋 SAISIE'!$B$7:$B$56,$D$4),1),"—"))</f>
        <v>—</v>
      </c>
      <c r="E19" s="57" t="str">
        <f>IF($D$4="","—",IFERROR(ROUND(AVERAGEIFS('📋 SAISIE'!$AC$7:$AC$56,'📋 SAISIE'!$C$7:$C$56,'👥 ÉQUIPES'!$B$16,'📋 SAISIE'!$B$7:$B$56,$D$4),1),"—"))</f>
        <v>—</v>
      </c>
      <c r="F19" s="46" t="str">
        <f>IF($D$4="","—",IFERROR(ROUND(AVERAGEIFS('📋 SAISIE'!$AE$7:$AE$56,'📋 SAISIE'!$C$7:$C$56,'👥 ÉQUIPES'!$B$16,'📋 SAISIE'!$B$7:$B$56,$D$4),1),"—"))</f>
        <v>—</v>
      </c>
      <c r="G19" s="58" t="str">
        <f t="shared" si="0"/>
        <v>—</v>
      </c>
      <c r="H19" s="61" t="str">
        <f>IF(F19="—","—",IF('📊 TABLEAU DE BORD'!G18="—","—",IF(F19&gt;'📊 TABLEAU DE BORD'!G18,"📈 +"&amp;ROUND(F19-'📊 TABLEAU DE BORD'!G18,1)&amp;" vs moy.",IF(F19&lt;'📊 TABLEAU DE BORD'!G18,"📉 "&amp;ROUND(F19-'📊 TABLEAU DE BORD'!G18,1)&amp;" vs moy.","➡️ = Moy."))))</f>
        <v>—</v>
      </c>
      <c r="I19" s="47" t="str">
        <f t="shared" si="1"/>
        <v>⏳ Sélectionnez une date pour voir le verdict.</v>
      </c>
    </row>
    <row r="20" spans="2:9" ht="25.5" customHeight="1" x14ac:dyDescent="0.25">
      <c r="B20" s="49">
        <f>'👥 ÉQUIPES'!$B$17</f>
        <v>0</v>
      </c>
      <c r="C20" s="50" t="str">
        <f>IF($D$4="","—",COUNTIFS('📋 SAISIE'!$C$7:$C$56,'👥 ÉQUIPES'!$B$17,'📋 SAISIE'!$B$7:$B$56,$D$4))</f>
        <v>—</v>
      </c>
      <c r="D20" s="51" t="str">
        <f>IF($D$4="","—",IFERROR(ROUND(AVERAGEIFS('📋 SAISIE'!$AB$7:$AB$56,'📋 SAISIE'!$C$7:$C$56,'👥 ÉQUIPES'!$B$17,'📋 SAISIE'!$B$7:$B$56,$D$4),1),"—"))</f>
        <v>—</v>
      </c>
      <c r="E20" s="52" t="str">
        <f>IF($D$4="","—",IFERROR(ROUND(AVERAGEIFS('📋 SAISIE'!$AC$7:$AC$56,'📋 SAISIE'!$C$7:$C$56,'👥 ÉQUIPES'!$B$17,'📋 SAISIE'!$B$7:$B$56,$D$4),1),"—"))</f>
        <v>—</v>
      </c>
      <c r="F20" s="34" t="str">
        <f>IF($D$4="","—",IFERROR(ROUND(AVERAGEIFS('📋 SAISIE'!$AE$7:$AE$56,'📋 SAISIE'!$C$7:$C$56,'👥 ÉQUIPES'!$B$17,'📋 SAISIE'!$B$7:$B$56,$D$4),1),"—"))</f>
        <v>—</v>
      </c>
      <c r="G20" s="53" t="str">
        <f t="shared" si="0"/>
        <v>—</v>
      </c>
      <c r="H20" s="60" t="str">
        <f>IF(F20="—","—",IF('📊 TABLEAU DE BORD'!G19="—","—",IF(F20&gt;'📊 TABLEAU DE BORD'!G19,"📈 +"&amp;ROUND(F20-'📊 TABLEAU DE BORD'!G19,1)&amp;" vs moy.",IF(F20&lt;'📊 TABLEAU DE BORD'!G19,"📉 "&amp;ROUND(F20-'📊 TABLEAU DE BORD'!G19,1)&amp;" vs moy.","➡️ = Moy."))))</f>
        <v>—</v>
      </c>
      <c r="I20" s="35" t="str">
        <f t="shared" si="1"/>
        <v>⏳ Sélectionnez une date pour voir le verdict.</v>
      </c>
    </row>
    <row r="21" spans="2:9" ht="25.5" customHeight="1" x14ac:dyDescent="0.25">
      <c r="B21" s="54">
        <f>'👥 ÉQUIPES'!$B$18</f>
        <v>0</v>
      </c>
      <c r="C21" s="55" t="str">
        <f>IF($D$4="","—",COUNTIFS('📋 SAISIE'!$C$7:$C$56,'👥 ÉQUIPES'!$B$18,'📋 SAISIE'!$B$7:$B$56,$D$4))</f>
        <v>—</v>
      </c>
      <c r="D21" s="56" t="str">
        <f>IF($D$4="","—",IFERROR(ROUND(AVERAGEIFS('📋 SAISIE'!$AB$7:$AB$56,'📋 SAISIE'!$C$7:$C$56,'👥 ÉQUIPES'!$B$18,'📋 SAISIE'!$B$7:$B$56,$D$4),1),"—"))</f>
        <v>—</v>
      </c>
      <c r="E21" s="57" t="str">
        <f>IF($D$4="","—",IFERROR(ROUND(AVERAGEIFS('📋 SAISIE'!$AC$7:$AC$56,'📋 SAISIE'!$C$7:$C$56,'👥 ÉQUIPES'!$B$18,'📋 SAISIE'!$B$7:$B$56,$D$4),1),"—"))</f>
        <v>—</v>
      </c>
      <c r="F21" s="46" t="str">
        <f>IF($D$4="","—",IFERROR(ROUND(AVERAGEIFS('📋 SAISIE'!$AE$7:$AE$56,'📋 SAISIE'!$C$7:$C$56,'👥 ÉQUIPES'!$B$18,'📋 SAISIE'!$B$7:$B$56,$D$4),1),"—"))</f>
        <v>—</v>
      </c>
      <c r="G21" s="58" t="str">
        <f t="shared" si="0"/>
        <v>—</v>
      </c>
      <c r="H21" s="61" t="str">
        <f>IF(F21="—","—",IF('📊 TABLEAU DE BORD'!G20="—","—",IF(F21&gt;'📊 TABLEAU DE BORD'!G20,"📈 +"&amp;ROUND(F21-'📊 TABLEAU DE BORD'!G20,1)&amp;" vs moy.",IF(F21&lt;'📊 TABLEAU DE BORD'!G20,"📉 "&amp;ROUND(F21-'📊 TABLEAU DE BORD'!G20,1)&amp;" vs moy.","➡️ = Moy."))))</f>
        <v>—</v>
      </c>
      <c r="I21" s="47" t="str">
        <f t="shared" si="1"/>
        <v>⏳ Sélectionnez une date pour voir le verdict.</v>
      </c>
    </row>
    <row r="22" spans="2:9" ht="25.5" customHeight="1" x14ac:dyDescent="0.25">
      <c r="B22" s="49">
        <f>'👥 ÉQUIPES'!$B$19</f>
        <v>0</v>
      </c>
      <c r="C22" s="50" t="str">
        <f>IF($D$4="","—",COUNTIFS('📋 SAISIE'!$C$7:$C$56,'👥 ÉQUIPES'!$B$19,'📋 SAISIE'!$B$7:$B$56,$D$4))</f>
        <v>—</v>
      </c>
      <c r="D22" s="51" t="str">
        <f>IF($D$4="","—",IFERROR(ROUND(AVERAGEIFS('📋 SAISIE'!$AB$7:$AB$56,'📋 SAISIE'!$C$7:$C$56,'👥 ÉQUIPES'!$B$19,'📋 SAISIE'!$B$7:$B$56,$D$4),1),"—"))</f>
        <v>—</v>
      </c>
      <c r="E22" s="52" t="str">
        <f>IF($D$4="","—",IFERROR(ROUND(AVERAGEIFS('📋 SAISIE'!$AC$7:$AC$56,'📋 SAISIE'!$C$7:$C$56,'👥 ÉQUIPES'!$B$19,'📋 SAISIE'!$B$7:$B$56,$D$4),1),"—"))</f>
        <v>—</v>
      </c>
      <c r="F22" s="34" t="str">
        <f>IF($D$4="","—",IFERROR(ROUND(AVERAGEIFS('📋 SAISIE'!$AE$7:$AE$56,'📋 SAISIE'!$C$7:$C$56,'👥 ÉQUIPES'!$B$19,'📋 SAISIE'!$B$7:$B$56,$D$4),1),"—"))</f>
        <v>—</v>
      </c>
      <c r="G22" s="53" t="str">
        <f t="shared" si="0"/>
        <v>—</v>
      </c>
      <c r="H22" s="60" t="str">
        <f>IF(F22="—","—",IF('📊 TABLEAU DE BORD'!G21="—","—",IF(F22&gt;'📊 TABLEAU DE BORD'!G21,"📈 +"&amp;ROUND(F22-'📊 TABLEAU DE BORD'!G21,1)&amp;" vs moy.",IF(F22&lt;'📊 TABLEAU DE BORD'!G21,"📉 "&amp;ROUND(F22-'📊 TABLEAU DE BORD'!G21,1)&amp;" vs moy.","➡️ = Moy."))))</f>
        <v>—</v>
      </c>
      <c r="I22" s="35" t="str">
        <f t="shared" si="1"/>
        <v>⏳ Sélectionnez une date pour voir le verdict.</v>
      </c>
    </row>
    <row r="23" spans="2:9" ht="25.5" customHeight="1" x14ac:dyDescent="0.25">
      <c r="B23" s="54">
        <f>'👥 ÉQUIPES'!$B$20</f>
        <v>0</v>
      </c>
      <c r="C23" s="55" t="str">
        <f>IF($D$4="","—",COUNTIFS('📋 SAISIE'!$C$7:$C$56,'👥 ÉQUIPES'!$B$20,'📋 SAISIE'!$B$7:$B$56,$D$4))</f>
        <v>—</v>
      </c>
      <c r="D23" s="56" t="str">
        <f>IF($D$4="","—",IFERROR(ROUND(AVERAGEIFS('📋 SAISIE'!$AB$7:$AB$56,'📋 SAISIE'!$C$7:$C$56,'👥 ÉQUIPES'!$B$20,'📋 SAISIE'!$B$7:$B$56,$D$4),1),"—"))</f>
        <v>—</v>
      </c>
      <c r="E23" s="57" t="str">
        <f>IF($D$4="","—",IFERROR(ROUND(AVERAGEIFS('📋 SAISIE'!$AC$7:$AC$56,'📋 SAISIE'!$C$7:$C$56,'👥 ÉQUIPES'!$B$20,'📋 SAISIE'!$B$7:$B$56,$D$4),1),"—"))</f>
        <v>—</v>
      </c>
      <c r="F23" s="46" t="str">
        <f>IF($D$4="","—",IFERROR(ROUND(AVERAGEIFS('📋 SAISIE'!$AE$7:$AE$56,'📋 SAISIE'!$C$7:$C$56,'👥 ÉQUIPES'!$B$20,'📋 SAISIE'!$B$7:$B$56,$D$4),1),"—"))</f>
        <v>—</v>
      </c>
      <c r="G23" s="58" t="str">
        <f t="shared" si="0"/>
        <v>—</v>
      </c>
      <c r="H23" s="61" t="str">
        <f>IF(F23="—","—",IF('📊 TABLEAU DE BORD'!G22="—","—",IF(F23&gt;'📊 TABLEAU DE BORD'!G22,"📈 +"&amp;ROUND(F23-'📊 TABLEAU DE BORD'!G22,1)&amp;" vs moy.",IF(F23&lt;'📊 TABLEAU DE BORD'!G22,"📉 "&amp;ROUND(F23-'📊 TABLEAU DE BORD'!G22,1)&amp;" vs moy.","➡️ = Moy."))))</f>
        <v>—</v>
      </c>
      <c r="I23" s="47" t="str">
        <f t="shared" si="1"/>
        <v>⏳ Sélectionnez une date pour voir le verdict.</v>
      </c>
    </row>
    <row r="24" spans="2:9" ht="25.5" customHeight="1" x14ac:dyDescent="0.25">
      <c r="B24" s="49">
        <f>'👥 ÉQUIPES'!$B$21</f>
        <v>0</v>
      </c>
      <c r="C24" s="50" t="str">
        <f>IF($D$4="","—",COUNTIFS('📋 SAISIE'!$C$7:$C$56,'👥 ÉQUIPES'!$B$21,'📋 SAISIE'!$B$7:$B$56,$D$4))</f>
        <v>—</v>
      </c>
      <c r="D24" s="51" t="str">
        <f>IF($D$4="","—",IFERROR(ROUND(AVERAGEIFS('📋 SAISIE'!$AB$7:$AB$56,'📋 SAISIE'!$C$7:$C$56,'👥 ÉQUIPES'!$B$21,'📋 SAISIE'!$B$7:$B$56,$D$4),1),"—"))</f>
        <v>—</v>
      </c>
      <c r="E24" s="52" t="str">
        <f>IF($D$4="","—",IFERROR(ROUND(AVERAGEIFS('📋 SAISIE'!$AC$7:$AC$56,'📋 SAISIE'!$C$7:$C$56,'👥 ÉQUIPES'!$B$21,'📋 SAISIE'!$B$7:$B$56,$D$4),1),"—"))</f>
        <v>—</v>
      </c>
      <c r="F24" s="34" t="str">
        <f>IF($D$4="","—",IFERROR(ROUND(AVERAGEIFS('📋 SAISIE'!$AE$7:$AE$56,'📋 SAISIE'!$C$7:$C$56,'👥 ÉQUIPES'!$B$21,'📋 SAISIE'!$B$7:$B$56,$D$4),1),"—"))</f>
        <v>—</v>
      </c>
      <c r="G24" s="53" t="str">
        <f t="shared" si="0"/>
        <v>—</v>
      </c>
      <c r="H24" s="60" t="str">
        <f>IF(F24="—","—",IF('📊 TABLEAU DE BORD'!G23="—","—",IF(F24&gt;'📊 TABLEAU DE BORD'!G23,"📈 +"&amp;ROUND(F24-'📊 TABLEAU DE BORD'!G23,1)&amp;" vs moy.",IF(F24&lt;'📊 TABLEAU DE BORD'!G23,"📉 "&amp;ROUND(F24-'📊 TABLEAU DE BORD'!G23,1)&amp;" vs moy.","➡️ = Moy."))))</f>
        <v>—</v>
      </c>
      <c r="I24" s="35" t="str">
        <f t="shared" si="1"/>
        <v>⏳ Sélectionnez une date pour voir le verdict.</v>
      </c>
    </row>
    <row r="25" spans="2:9" ht="25.5" customHeight="1" x14ac:dyDescent="0.25">
      <c r="B25" s="54">
        <f>'👥 ÉQUIPES'!$B$22</f>
        <v>0</v>
      </c>
      <c r="C25" s="55" t="str">
        <f>IF($D$4="","—",COUNTIFS('📋 SAISIE'!$C$7:$C$56,'👥 ÉQUIPES'!$B$22,'📋 SAISIE'!$B$7:$B$56,$D$4))</f>
        <v>—</v>
      </c>
      <c r="D25" s="56" t="str">
        <f>IF($D$4="","—",IFERROR(ROUND(AVERAGEIFS('📋 SAISIE'!$AB$7:$AB$56,'📋 SAISIE'!$C$7:$C$56,'👥 ÉQUIPES'!$B$22,'📋 SAISIE'!$B$7:$B$56,$D$4),1),"—"))</f>
        <v>—</v>
      </c>
      <c r="E25" s="57" t="str">
        <f>IF($D$4="","—",IFERROR(ROUND(AVERAGEIFS('📋 SAISIE'!$AC$7:$AC$56,'📋 SAISIE'!$C$7:$C$56,'👥 ÉQUIPES'!$B$22,'📋 SAISIE'!$B$7:$B$56,$D$4),1),"—"))</f>
        <v>—</v>
      </c>
      <c r="F25" s="46" t="str">
        <f>IF($D$4="","—",IFERROR(ROUND(AVERAGEIFS('📋 SAISIE'!$AE$7:$AE$56,'📋 SAISIE'!$C$7:$C$56,'👥 ÉQUIPES'!$B$22,'📋 SAISIE'!$B$7:$B$56,$D$4),1),"—"))</f>
        <v>—</v>
      </c>
      <c r="G25" s="58" t="str">
        <f t="shared" si="0"/>
        <v>—</v>
      </c>
      <c r="H25" s="61" t="str">
        <f>IF(F25="—","—",IF('📊 TABLEAU DE BORD'!G24="—","—",IF(F25&gt;'📊 TABLEAU DE BORD'!G24,"📈 +"&amp;ROUND(F25-'📊 TABLEAU DE BORD'!G24,1)&amp;" vs moy.",IF(F25&lt;'📊 TABLEAU DE BORD'!G24,"📉 "&amp;ROUND(F25-'📊 TABLEAU DE BORD'!G24,1)&amp;" vs moy.","➡️ = Moy."))))</f>
        <v>—</v>
      </c>
      <c r="I25" s="47" t="str">
        <f t="shared" si="1"/>
        <v>⏳ Sélectionnez une date pour voir le verdict.</v>
      </c>
    </row>
    <row r="26" spans="2:9" ht="25.5" customHeight="1" x14ac:dyDescent="0.25">
      <c r="B26" s="49">
        <f>'👥 ÉQUIPES'!$B$23</f>
        <v>0</v>
      </c>
      <c r="C26" s="50" t="str">
        <f>IF($D$4="","—",COUNTIFS('📋 SAISIE'!$C$7:$C$56,'👥 ÉQUIPES'!$B$23,'📋 SAISIE'!$B$7:$B$56,$D$4))</f>
        <v>—</v>
      </c>
      <c r="D26" s="51" t="str">
        <f>IF($D$4="","—",IFERROR(ROUND(AVERAGEIFS('📋 SAISIE'!$AB$7:$AB$56,'📋 SAISIE'!$C$7:$C$56,'👥 ÉQUIPES'!$B$23,'📋 SAISIE'!$B$7:$B$56,$D$4),1),"—"))</f>
        <v>—</v>
      </c>
      <c r="E26" s="52" t="str">
        <f>IF($D$4="","—",IFERROR(ROUND(AVERAGEIFS('📋 SAISIE'!$AC$7:$AC$56,'📋 SAISIE'!$C$7:$C$56,'👥 ÉQUIPES'!$B$23,'📋 SAISIE'!$B$7:$B$56,$D$4),1),"—"))</f>
        <v>—</v>
      </c>
      <c r="F26" s="34" t="str">
        <f>IF($D$4="","—",IFERROR(ROUND(AVERAGEIFS('📋 SAISIE'!$AE$7:$AE$56,'📋 SAISIE'!$C$7:$C$56,'👥 ÉQUIPES'!$B$23,'📋 SAISIE'!$B$7:$B$56,$D$4),1),"—"))</f>
        <v>—</v>
      </c>
      <c r="G26" s="53" t="str">
        <f t="shared" si="0"/>
        <v>—</v>
      </c>
      <c r="H26" s="60" t="str">
        <f>IF(F26="—","—",IF('📊 TABLEAU DE BORD'!G25="—","—",IF(F26&gt;'📊 TABLEAU DE BORD'!G25,"📈 +"&amp;ROUND(F26-'📊 TABLEAU DE BORD'!G25,1)&amp;" vs moy.",IF(F26&lt;'📊 TABLEAU DE BORD'!G25,"📉 "&amp;ROUND(F26-'📊 TABLEAU DE BORD'!G25,1)&amp;" vs moy.","➡️ = Moy."))))</f>
        <v>—</v>
      </c>
      <c r="I26" s="35" t="str">
        <f t="shared" si="1"/>
        <v>⏳ Sélectionnez une date pour voir le verdict.</v>
      </c>
    </row>
    <row r="27" spans="2:9" ht="25.5" customHeight="1" x14ac:dyDescent="0.25">
      <c r="B27" s="54">
        <f>'👥 ÉQUIPES'!$B$24</f>
        <v>0</v>
      </c>
      <c r="C27" s="55" t="str">
        <f>IF($D$4="","—",COUNTIFS('📋 SAISIE'!$C$7:$C$56,'👥 ÉQUIPES'!$B$24,'📋 SAISIE'!$B$7:$B$56,$D$4))</f>
        <v>—</v>
      </c>
      <c r="D27" s="56" t="str">
        <f>IF($D$4="","—",IFERROR(ROUND(AVERAGEIFS('📋 SAISIE'!$AB$7:$AB$56,'📋 SAISIE'!$C$7:$C$56,'👥 ÉQUIPES'!$B$24,'📋 SAISIE'!$B$7:$B$56,$D$4),1),"—"))</f>
        <v>—</v>
      </c>
      <c r="E27" s="57" t="str">
        <f>IF($D$4="","—",IFERROR(ROUND(AVERAGEIFS('📋 SAISIE'!$AC$7:$AC$56,'📋 SAISIE'!$C$7:$C$56,'👥 ÉQUIPES'!$B$24,'📋 SAISIE'!$B$7:$B$56,$D$4),1),"—"))</f>
        <v>—</v>
      </c>
      <c r="F27" s="46" t="str">
        <f>IF($D$4="","—",IFERROR(ROUND(AVERAGEIFS('📋 SAISIE'!$AE$7:$AE$56,'📋 SAISIE'!$C$7:$C$56,'👥 ÉQUIPES'!$B$24,'📋 SAISIE'!$B$7:$B$56,$D$4),1),"—"))</f>
        <v>—</v>
      </c>
      <c r="G27" s="58" t="str">
        <f t="shared" si="0"/>
        <v>—</v>
      </c>
      <c r="H27" s="61" t="str">
        <f>IF(F27="—","—",IF('📊 TABLEAU DE BORD'!G26="—","—",IF(F27&gt;'📊 TABLEAU DE BORD'!G26,"📈 +"&amp;ROUND(F27-'📊 TABLEAU DE BORD'!G26,1)&amp;" vs moy.",IF(F27&lt;'📊 TABLEAU DE BORD'!G26,"📉 "&amp;ROUND(F27-'📊 TABLEAU DE BORD'!G26,1)&amp;" vs moy.","➡️ = Moy."))))</f>
        <v>—</v>
      </c>
      <c r="I27" s="47" t="str">
        <f t="shared" si="1"/>
        <v>⏳ Sélectionnez une date pour voir le verdict.</v>
      </c>
    </row>
  </sheetData>
  <mergeCells count="5">
    <mergeCell ref="A1:J1"/>
    <mergeCell ref="A2:J2"/>
    <mergeCell ref="A4:C4"/>
    <mergeCell ref="E4:J4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K29"/>
  <sheetViews>
    <sheetView showGridLines="0" zoomScaleNormal="100" workbookViewId="0">
      <selection sqref="A1:K1"/>
    </sheetView>
  </sheetViews>
  <sheetFormatPr baseColWidth="10" defaultColWidth="8.7109375" defaultRowHeight="15" x14ac:dyDescent="0.25"/>
  <cols>
    <col min="1" max="1" width="6" customWidth="1"/>
    <col min="2" max="2" width="26" customWidth="1"/>
    <col min="3" max="10" width="12" customWidth="1"/>
    <col min="11" max="11" width="6" customWidth="1"/>
  </cols>
  <sheetData>
    <row r="1" spans="1:11" ht="33.75" customHeight="1" x14ac:dyDescent="0.25">
      <c r="A1" s="14" t="s">
        <v>77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9.5" customHeight="1" x14ac:dyDescent="0.25">
      <c r="A2" s="81" t="s">
        <v>78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7.5" customHeight="1" x14ac:dyDescent="0.25"/>
    <row r="4" spans="1:11" ht="25.5" customHeight="1" x14ac:dyDescent="0.25">
      <c r="B4" s="82" t="s">
        <v>79</v>
      </c>
      <c r="C4" s="83" t="str">
        <f>'👥 ÉQUIPES'!B5</f>
        <v>Équipe A</v>
      </c>
      <c r="D4" s="83" t="str">
        <f>'👥 ÉQUIPES'!B6</f>
        <v>Équipe B</v>
      </c>
      <c r="E4" s="83" t="str">
        <f>'👥 ÉQUIPES'!B7</f>
        <v>Équipe C</v>
      </c>
      <c r="F4" s="83" t="str">
        <f>'👥 ÉQUIPES'!B8</f>
        <v>Équipe D</v>
      </c>
      <c r="G4" s="83" t="str">
        <f>'👥 ÉQUIPES'!B9</f>
        <v>Équipe E</v>
      </c>
      <c r="H4" s="83">
        <f>'👥 ÉQUIPES'!B10</f>
        <v>0</v>
      </c>
      <c r="I4" s="83">
        <f>'👥 ÉQUIPES'!B11</f>
        <v>0</v>
      </c>
      <c r="J4" s="83">
        <f>'👥 ÉQUIPES'!B12</f>
        <v>0</v>
      </c>
    </row>
    <row r="5" spans="1:11" ht="3.75" customHeight="1" x14ac:dyDescent="0.25">
      <c r="B5" s="82"/>
      <c r="C5" s="82"/>
      <c r="D5" s="82"/>
      <c r="E5" s="82"/>
      <c r="F5" s="82"/>
      <c r="G5" s="82"/>
      <c r="H5" s="82"/>
      <c r="I5" s="82"/>
      <c r="J5" s="82"/>
    </row>
    <row r="6" spans="1:11" ht="21.75" customHeight="1" x14ac:dyDescent="0.25">
      <c r="B6" s="84" t="s">
        <v>80</v>
      </c>
      <c r="C6" s="84"/>
      <c r="D6" s="84"/>
      <c r="E6" s="84"/>
      <c r="F6" s="84"/>
      <c r="G6" s="84"/>
      <c r="H6" s="84"/>
      <c r="I6" s="84"/>
      <c r="J6" s="84"/>
      <c r="K6" s="84"/>
    </row>
    <row r="7" spans="1:11" ht="21.75" customHeight="1" x14ac:dyDescent="0.25">
      <c r="B7" s="62" t="s">
        <v>81</v>
      </c>
      <c r="C7" s="63" t="str">
        <f>IFERROR(ROUND(AVERAGEIF('📋 SAISIE'!$C$7:$C$56,'👥 ÉQUIPES'!$B$5,'📋 SAISIE'!$F$7:$F$56),1),"—")</f>
        <v>—</v>
      </c>
      <c r="D7" s="63" t="str">
        <f>IFERROR(ROUND(AVERAGEIF('📋 SAISIE'!$C$7:$C$56,'👥 ÉQUIPES'!$B$6,'📋 SAISIE'!$F$7:$F$56),1),"—")</f>
        <v>—</v>
      </c>
      <c r="E7" s="63" t="str">
        <f>IFERROR(ROUND(AVERAGEIF('📋 SAISIE'!$C$7:$C$56,'👥 ÉQUIPES'!$B$7,'📋 SAISIE'!$F$7:$F$56),1),"—")</f>
        <v>—</v>
      </c>
      <c r="F7" s="63" t="str">
        <f>IFERROR(ROUND(AVERAGEIF('📋 SAISIE'!$C$7:$C$56,'👥 ÉQUIPES'!$B$8,'📋 SAISIE'!$F$7:$F$56),1),"—")</f>
        <v>—</v>
      </c>
      <c r="G7" s="63" t="str">
        <f>IFERROR(ROUND(AVERAGEIF('📋 SAISIE'!$C$7:$C$56,'👥 ÉQUIPES'!$B$9,'📋 SAISIE'!$F$7:$F$56),1),"—")</f>
        <v>—</v>
      </c>
      <c r="H7" s="63" t="str">
        <f>IFERROR(ROUND(AVERAGEIF('📋 SAISIE'!$C$7:$C$56,'👥 ÉQUIPES'!$B$10,'📋 SAISIE'!$F$7:$F$56),1),"—")</f>
        <v>—</v>
      </c>
      <c r="I7" s="63" t="str">
        <f>IFERROR(ROUND(AVERAGEIF('📋 SAISIE'!$C$7:$C$56,'👥 ÉQUIPES'!$B$11,'📋 SAISIE'!$F$7:$F$56),1),"—")</f>
        <v>—</v>
      </c>
      <c r="J7" s="63" t="str">
        <f>IFERROR(ROUND(AVERAGEIF('📋 SAISIE'!$C$7:$C$56,'👥 ÉQUIPES'!$B$12,'📋 SAISIE'!$F$7:$F$56),1),"—")</f>
        <v>—</v>
      </c>
    </row>
    <row r="8" spans="1:11" ht="21.75" customHeight="1" x14ac:dyDescent="0.25">
      <c r="B8" s="62" t="s">
        <v>82</v>
      </c>
      <c r="C8" s="64" t="str">
        <f>IFERROR(ROUND(AVERAGEIF('📋 SAISIE'!$C$7:$C$56,'👥 ÉQUIPES'!$B$5,'📋 SAISIE'!$G$7:$G$56),1),"—")</f>
        <v>—</v>
      </c>
      <c r="D8" s="64" t="str">
        <f>IFERROR(ROUND(AVERAGEIF('📋 SAISIE'!$C$7:$C$56,'👥 ÉQUIPES'!$B$6,'📋 SAISIE'!$G$7:$G$56),1),"—")</f>
        <v>—</v>
      </c>
      <c r="E8" s="64" t="str">
        <f>IFERROR(ROUND(AVERAGEIF('📋 SAISIE'!$C$7:$C$56,'👥 ÉQUIPES'!$B$7,'📋 SAISIE'!$G$7:$G$56),1),"—")</f>
        <v>—</v>
      </c>
      <c r="F8" s="64" t="str">
        <f>IFERROR(ROUND(AVERAGEIF('📋 SAISIE'!$C$7:$C$56,'👥 ÉQUIPES'!$B$8,'📋 SAISIE'!$G$7:$G$56),1),"—")</f>
        <v>—</v>
      </c>
      <c r="G8" s="64" t="str">
        <f>IFERROR(ROUND(AVERAGEIF('📋 SAISIE'!$C$7:$C$56,'👥 ÉQUIPES'!$B$9,'📋 SAISIE'!$G$7:$G$56),1),"—")</f>
        <v>—</v>
      </c>
      <c r="H8" s="64" t="str">
        <f>IFERROR(ROUND(AVERAGEIF('📋 SAISIE'!$C$7:$C$56,'👥 ÉQUIPES'!$B$10,'📋 SAISIE'!$G$7:$G$56),1),"—")</f>
        <v>—</v>
      </c>
      <c r="I8" s="64" t="str">
        <f>IFERROR(ROUND(AVERAGEIF('📋 SAISIE'!$C$7:$C$56,'👥 ÉQUIPES'!$B$11,'📋 SAISIE'!$G$7:$G$56),1),"—")</f>
        <v>—</v>
      </c>
      <c r="J8" s="64" t="str">
        <f>IFERROR(ROUND(AVERAGEIF('📋 SAISIE'!$C$7:$C$56,'👥 ÉQUIPES'!$B$12,'📋 SAISIE'!$G$7:$G$56),1),"—")</f>
        <v>—</v>
      </c>
    </row>
    <row r="9" spans="1:11" ht="21.75" customHeight="1" x14ac:dyDescent="0.25">
      <c r="B9" s="62" t="s">
        <v>83</v>
      </c>
      <c r="C9" s="63" t="str">
        <f>IFERROR(ROUND(AVERAGEIF('📋 SAISIE'!$C$7:$C$56,'👥 ÉQUIPES'!$B$5,'📋 SAISIE'!$H$7:$H$56),1),"—")</f>
        <v>—</v>
      </c>
      <c r="D9" s="63" t="str">
        <f>IFERROR(ROUND(AVERAGEIF('📋 SAISIE'!$C$7:$C$56,'👥 ÉQUIPES'!$B$6,'📋 SAISIE'!$H$7:$H$56),1),"—")</f>
        <v>—</v>
      </c>
      <c r="E9" s="63" t="str">
        <f>IFERROR(ROUND(AVERAGEIF('📋 SAISIE'!$C$7:$C$56,'👥 ÉQUIPES'!$B$7,'📋 SAISIE'!$H$7:$H$56),1),"—")</f>
        <v>—</v>
      </c>
      <c r="F9" s="63" t="str">
        <f>IFERROR(ROUND(AVERAGEIF('📋 SAISIE'!$C$7:$C$56,'👥 ÉQUIPES'!$B$8,'📋 SAISIE'!$H$7:$H$56),1),"—")</f>
        <v>—</v>
      </c>
      <c r="G9" s="63" t="str">
        <f>IFERROR(ROUND(AVERAGEIF('📋 SAISIE'!$C$7:$C$56,'👥 ÉQUIPES'!$B$9,'📋 SAISIE'!$H$7:$H$56),1),"—")</f>
        <v>—</v>
      </c>
      <c r="H9" s="63" t="str">
        <f>IFERROR(ROUND(AVERAGEIF('📋 SAISIE'!$C$7:$C$56,'👥 ÉQUIPES'!$B$10,'📋 SAISIE'!$H$7:$H$56),1),"—")</f>
        <v>—</v>
      </c>
      <c r="I9" s="63" t="str">
        <f>IFERROR(ROUND(AVERAGEIF('📋 SAISIE'!$C$7:$C$56,'👥 ÉQUIPES'!$B$11,'📋 SAISIE'!$H$7:$H$56),1),"—")</f>
        <v>—</v>
      </c>
      <c r="J9" s="63" t="str">
        <f>IFERROR(ROUND(AVERAGEIF('📋 SAISIE'!$C$7:$C$56,'👥 ÉQUIPES'!$B$12,'📋 SAISIE'!$H$7:$H$56),1),"—")</f>
        <v>—</v>
      </c>
    </row>
    <row r="10" spans="1:11" ht="21.75" customHeight="1" x14ac:dyDescent="0.25">
      <c r="B10" s="62" t="s">
        <v>84</v>
      </c>
      <c r="C10" s="64" t="str">
        <f>IFERROR(ROUND(AVERAGEIF('📋 SAISIE'!$C$7:$C$56,'👥 ÉQUIPES'!$B$5,'📋 SAISIE'!$I$7:$I$56),1),"—")</f>
        <v>—</v>
      </c>
      <c r="D10" s="64" t="str">
        <f>IFERROR(ROUND(AVERAGEIF('📋 SAISIE'!$C$7:$C$56,'👥 ÉQUIPES'!$B$6,'📋 SAISIE'!$I$7:$I$56),1),"—")</f>
        <v>—</v>
      </c>
      <c r="E10" s="64" t="str">
        <f>IFERROR(ROUND(AVERAGEIF('📋 SAISIE'!$C$7:$C$56,'👥 ÉQUIPES'!$B$7,'📋 SAISIE'!$I$7:$I$56),1),"—")</f>
        <v>—</v>
      </c>
      <c r="F10" s="64" t="str">
        <f>IFERROR(ROUND(AVERAGEIF('📋 SAISIE'!$C$7:$C$56,'👥 ÉQUIPES'!$B$8,'📋 SAISIE'!$I$7:$I$56),1),"—")</f>
        <v>—</v>
      </c>
      <c r="G10" s="64" t="str">
        <f>IFERROR(ROUND(AVERAGEIF('📋 SAISIE'!$C$7:$C$56,'👥 ÉQUIPES'!$B$9,'📋 SAISIE'!$I$7:$I$56),1),"—")</f>
        <v>—</v>
      </c>
      <c r="H10" s="64" t="str">
        <f>IFERROR(ROUND(AVERAGEIF('📋 SAISIE'!$C$7:$C$56,'👥 ÉQUIPES'!$B$10,'📋 SAISIE'!$I$7:$I$56),1),"—")</f>
        <v>—</v>
      </c>
      <c r="I10" s="64" t="str">
        <f>IFERROR(ROUND(AVERAGEIF('📋 SAISIE'!$C$7:$C$56,'👥 ÉQUIPES'!$B$11,'📋 SAISIE'!$I$7:$I$56),1),"—")</f>
        <v>—</v>
      </c>
      <c r="J10" s="64" t="str">
        <f>IFERROR(ROUND(AVERAGEIF('📋 SAISIE'!$C$7:$C$56,'👥 ÉQUIPES'!$B$12,'📋 SAISIE'!$I$7:$I$56),1),"—")</f>
        <v>—</v>
      </c>
    </row>
    <row r="11" spans="1:11" ht="21.75" customHeight="1" x14ac:dyDescent="0.25">
      <c r="B11" s="62" t="s">
        <v>85</v>
      </c>
      <c r="C11" s="63" t="str">
        <f>IFERROR(ROUND(AVERAGEIF('📋 SAISIE'!$C$7:$C$56,'👥 ÉQUIPES'!$B$5,'📋 SAISIE'!$J$7:$J$56),1),"—")</f>
        <v>—</v>
      </c>
      <c r="D11" s="63" t="str">
        <f>IFERROR(ROUND(AVERAGEIF('📋 SAISIE'!$C$7:$C$56,'👥 ÉQUIPES'!$B$6,'📋 SAISIE'!$J$7:$J$56),1),"—")</f>
        <v>—</v>
      </c>
      <c r="E11" s="63" t="str">
        <f>IFERROR(ROUND(AVERAGEIF('📋 SAISIE'!$C$7:$C$56,'👥 ÉQUIPES'!$B$7,'📋 SAISIE'!$J$7:$J$56),1),"—")</f>
        <v>—</v>
      </c>
      <c r="F11" s="63" t="str">
        <f>IFERROR(ROUND(AVERAGEIF('📋 SAISIE'!$C$7:$C$56,'👥 ÉQUIPES'!$B$8,'📋 SAISIE'!$J$7:$J$56),1),"—")</f>
        <v>—</v>
      </c>
      <c r="G11" s="63" t="str">
        <f>IFERROR(ROUND(AVERAGEIF('📋 SAISIE'!$C$7:$C$56,'👥 ÉQUIPES'!$B$9,'📋 SAISIE'!$J$7:$J$56),1),"—")</f>
        <v>—</v>
      </c>
      <c r="H11" s="63" t="str">
        <f>IFERROR(ROUND(AVERAGEIF('📋 SAISIE'!$C$7:$C$56,'👥 ÉQUIPES'!$B$10,'📋 SAISIE'!$J$7:$J$56),1),"—")</f>
        <v>—</v>
      </c>
      <c r="I11" s="63" t="str">
        <f>IFERROR(ROUND(AVERAGEIF('📋 SAISIE'!$C$7:$C$56,'👥 ÉQUIPES'!$B$11,'📋 SAISIE'!$J$7:$J$56),1),"—")</f>
        <v>—</v>
      </c>
      <c r="J11" s="63" t="str">
        <f>IFERROR(ROUND(AVERAGEIF('📋 SAISIE'!$C$7:$C$56,'👥 ÉQUIPES'!$B$12,'📋 SAISIE'!$J$7:$J$56),1),"—")</f>
        <v>—</v>
      </c>
    </row>
    <row r="12" spans="1:11" ht="21.75" customHeight="1" x14ac:dyDescent="0.25">
      <c r="B12" s="62" t="s">
        <v>86</v>
      </c>
      <c r="C12" s="64" t="str">
        <f>IFERROR(ROUND(AVERAGEIF('📋 SAISIE'!$C$7:$C$56,'👥 ÉQUIPES'!$B$5,'📋 SAISIE'!$K$7:$K$56),1),"—")</f>
        <v>—</v>
      </c>
      <c r="D12" s="64" t="str">
        <f>IFERROR(ROUND(AVERAGEIF('📋 SAISIE'!$C$7:$C$56,'👥 ÉQUIPES'!$B$6,'📋 SAISIE'!$K$7:$K$56),1),"—")</f>
        <v>—</v>
      </c>
      <c r="E12" s="64" t="str">
        <f>IFERROR(ROUND(AVERAGEIF('📋 SAISIE'!$C$7:$C$56,'👥 ÉQUIPES'!$B$7,'📋 SAISIE'!$K$7:$K$56),1),"—")</f>
        <v>—</v>
      </c>
      <c r="F12" s="64" t="str">
        <f>IFERROR(ROUND(AVERAGEIF('📋 SAISIE'!$C$7:$C$56,'👥 ÉQUIPES'!$B$8,'📋 SAISIE'!$K$7:$K$56),1),"—")</f>
        <v>—</v>
      </c>
      <c r="G12" s="64" t="str">
        <f>IFERROR(ROUND(AVERAGEIF('📋 SAISIE'!$C$7:$C$56,'👥 ÉQUIPES'!$B$9,'📋 SAISIE'!$K$7:$K$56),1),"—")</f>
        <v>—</v>
      </c>
      <c r="H12" s="64" t="str">
        <f>IFERROR(ROUND(AVERAGEIF('📋 SAISIE'!$C$7:$C$56,'👥 ÉQUIPES'!$B$10,'📋 SAISIE'!$K$7:$K$56),1),"—")</f>
        <v>—</v>
      </c>
      <c r="I12" s="64" t="str">
        <f>IFERROR(ROUND(AVERAGEIF('📋 SAISIE'!$C$7:$C$56,'👥 ÉQUIPES'!$B$11,'📋 SAISIE'!$K$7:$K$56),1),"—")</f>
        <v>—</v>
      </c>
      <c r="J12" s="64" t="str">
        <f>IFERROR(ROUND(AVERAGEIF('📋 SAISIE'!$C$7:$C$56,'👥 ÉQUIPES'!$B$12,'📋 SAISIE'!$K$7:$K$56),1),"—")</f>
        <v>—</v>
      </c>
    </row>
    <row r="13" spans="1:11" ht="21.75" customHeight="1" x14ac:dyDescent="0.25">
      <c r="B13" s="62" t="s">
        <v>87</v>
      </c>
      <c r="C13" s="63" t="str">
        <f>IFERROR(ROUND(AVERAGEIF('📋 SAISIE'!$C$7:$C$56,'👥 ÉQUIPES'!$B$5,'📋 SAISIE'!$L$7:$L$56),1),"—")</f>
        <v>—</v>
      </c>
      <c r="D13" s="63" t="str">
        <f>IFERROR(ROUND(AVERAGEIF('📋 SAISIE'!$C$7:$C$56,'👥 ÉQUIPES'!$B$6,'📋 SAISIE'!$L$7:$L$56),1),"—")</f>
        <v>—</v>
      </c>
      <c r="E13" s="63" t="str">
        <f>IFERROR(ROUND(AVERAGEIF('📋 SAISIE'!$C$7:$C$56,'👥 ÉQUIPES'!$B$7,'📋 SAISIE'!$L$7:$L$56),1),"—")</f>
        <v>—</v>
      </c>
      <c r="F13" s="63" t="str">
        <f>IFERROR(ROUND(AVERAGEIF('📋 SAISIE'!$C$7:$C$56,'👥 ÉQUIPES'!$B$8,'📋 SAISIE'!$L$7:$L$56),1),"—")</f>
        <v>—</v>
      </c>
      <c r="G13" s="63" t="str">
        <f>IFERROR(ROUND(AVERAGEIF('📋 SAISIE'!$C$7:$C$56,'👥 ÉQUIPES'!$B$9,'📋 SAISIE'!$L$7:$L$56),1),"—")</f>
        <v>—</v>
      </c>
      <c r="H13" s="63" t="str">
        <f>IFERROR(ROUND(AVERAGEIF('📋 SAISIE'!$C$7:$C$56,'👥 ÉQUIPES'!$B$10,'📋 SAISIE'!$L$7:$L$56),1),"—")</f>
        <v>—</v>
      </c>
      <c r="I13" s="63" t="str">
        <f>IFERROR(ROUND(AVERAGEIF('📋 SAISIE'!$C$7:$C$56,'👥 ÉQUIPES'!$B$11,'📋 SAISIE'!$L$7:$L$56),1),"—")</f>
        <v>—</v>
      </c>
      <c r="J13" s="63" t="str">
        <f>IFERROR(ROUND(AVERAGEIF('📋 SAISIE'!$C$7:$C$56,'👥 ÉQUIPES'!$B$12,'📋 SAISIE'!$L$7:$L$56),1),"—")</f>
        <v>—</v>
      </c>
    </row>
    <row r="14" spans="1:11" ht="21.75" customHeight="1" x14ac:dyDescent="0.25">
      <c r="B14" s="62" t="s">
        <v>88</v>
      </c>
      <c r="C14" s="64" t="str">
        <f>IFERROR(ROUND(AVERAGEIF('📋 SAISIE'!$C$7:$C$56,'👥 ÉQUIPES'!$B$5,'📋 SAISIE'!$M$7:$M$56),1),"—")</f>
        <v>—</v>
      </c>
      <c r="D14" s="64" t="str">
        <f>IFERROR(ROUND(AVERAGEIF('📋 SAISIE'!$C$7:$C$56,'👥 ÉQUIPES'!$B$6,'📋 SAISIE'!$M$7:$M$56),1),"—")</f>
        <v>—</v>
      </c>
      <c r="E14" s="64" t="str">
        <f>IFERROR(ROUND(AVERAGEIF('📋 SAISIE'!$C$7:$C$56,'👥 ÉQUIPES'!$B$7,'📋 SAISIE'!$M$7:$M$56),1),"—")</f>
        <v>—</v>
      </c>
      <c r="F14" s="64" t="str">
        <f>IFERROR(ROUND(AVERAGEIF('📋 SAISIE'!$C$7:$C$56,'👥 ÉQUIPES'!$B$8,'📋 SAISIE'!$M$7:$M$56),1),"—")</f>
        <v>—</v>
      </c>
      <c r="G14" s="64" t="str">
        <f>IFERROR(ROUND(AVERAGEIF('📋 SAISIE'!$C$7:$C$56,'👥 ÉQUIPES'!$B$9,'📋 SAISIE'!$M$7:$M$56),1),"—")</f>
        <v>—</v>
      </c>
      <c r="H14" s="64" t="str">
        <f>IFERROR(ROUND(AVERAGEIF('📋 SAISIE'!$C$7:$C$56,'👥 ÉQUIPES'!$B$10,'📋 SAISIE'!$M$7:$M$56),1),"—")</f>
        <v>—</v>
      </c>
      <c r="I14" s="64" t="str">
        <f>IFERROR(ROUND(AVERAGEIF('📋 SAISIE'!$C$7:$C$56,'👥 ÉQUIPES'!$B$11,'📋 SAISIE'!$M$7:$M$56),1),"—")</f>
        <v>—</v>
      </c>
      <c r="J14" s="64" t="str">
        <f>IFERROR(ROUND(AVERAGEIF('📋 SAISIE'!$C$7:$C$56,'👥 ÉQUIPES'!$B$12,'📋 SAISIE'!$M$7:$M$56),1),"—")</f>
        <v>—</v>
      </c>
    </row>
    <row r="15" spans="1:11" ht="21.75" customHeight="1" x14ac:dyDescent="0.25">
      <c r="B15" s="62" t="s">
        <v>89</v>
      </c>
      <c r="C15" s="63" t="str">
        <f>IFERROR(ROUND(AVERAGEIF('📋 SAISIE'!$C$7:$C$56,'👥 ÉQUIPES'!$B$5,'📋 SAISIE'!$N$7:$N$56),1),"—")</f>
        <v>—</v>
      </c>
      <c r="D15" s="63" t="str">
        <f>IFERROR(ROUND(AVERAGEIF('📋 SAISIE'!$C$7:$C$56,'👥 ÉQUIPES'!$B$6,'📋 SAISIE'!$N$7:$N$56),1),"—")</f>
        <v>—</v>
      </c>
      <c r="E15" s="63" t="str">
        <f>IFERROR(ROUND(AVERAGEIF('📋 SAISIE'!$C$7:$C$56,'👥 ÉQUIPES'!$B$7,'📋 SAISIE'!$N$7:$N$56),1),"—")</f>
        <v>—</v>
      </c>
      <c r="F15" s="63" t="str">
        <f>IFERROR(ROUND(AVERAGEIF('📋 SAISIE'!$C$7:$C$56,'👥 ÉQUIPES'!$B$8,'📋 SAISIE'!$N$7:$N$56),1),"—")</f>
        <v>—</v>
      </c>
      <c r="G15" s="63" t="str">
        <f>IFERROR(ROUND(AVERAGEIF('📋 SAISIE'!$C$7:$C$56,'👥 ÉQUIPES'!$B$9,'📋 SAISIE'!$N$7:$N$56),1),"—")</f>
        <v>—</v>
      </c>
      <c r="H15" s="63" t="str">
        <f>IFERROR(ROUND(AVERAGEIF('📋 SAISIE'!$C$7:$C$56,'👥 ÉQUIPES'!$B$10,'📋 SAISIE'!$N$7:$N$56),1),"—")</f>
        <v>—</v>
      </c>
      <c r="I15" s="63" t="str">
        <f>IFERROR(ROUND(AVERAGEIF('📋 SAISIE'!$C$7:$C$56,'👥 ÉQUIPES'!$B$11,'📋 SAISIE'!$N$7:$N$56),1),"—")</f>
        <v>—</v>
      </c>
      <c r="J15" s="63" t="str">
        <f>IFERROR(ROUND(AVERAGEIF('📋 SAISIE'!$C$7:$C$56,'👥 ÉQUIPES'!$B$12,'📋 SAISIE'!$N$7:$N$56),1),"—")</f>
        <v>—</v>
      </c>
    </row>
    <row r="16" spans="1:11" ht="21.75" customHeight="1" x14ac:dyDescent="0.25">
      <c r="B16" s="62" t="s">
        <v>90</v>
      </c>
      <c r="C16" s="64" t="str">
        <f>IFERROR(ROUND(AVERAGEIF('📋 SAISIE'!$C$7:$C$56,'👥 ÉQUIPES'!$B$5,'📋 SAISIE'!$O$7:$O$56),1),"—")</f>
        <v>—</v>
      </c>
      <c r="D16" s="64" t="str">
        <f>IFERROR(ROUND(AVERAGEIF('📋 SAISIE'!$C$7:$C$56,'👥 ÉQUIPES'!$B$6,'📋 SAISIE'!$O$7:$O$56),1),"—")</f>
        <v>—</v>
      </c>
      <c r="E16" s="64" t="str">
        <f>IFERROR(ROUND(AVERAGEIF('📋 SAISIE'!$C$7:$C$56,'👥 ÉQUIPES'!$B$7,'📋 SAISIE'!$O$7:$O$56),1),"—")</f>
        <v>—</v>
      </c>
      <c r="F16" s="64" t="str">
        <f>IFERROR(ROUND(AVERAGEIF('📋 SAISIE'!$C$7:$C$56,'👥 ÉQUIPES'!$B$8,'📋 SAISIE'!$O$7:$O$56),1),"—")</f>
        <v>—</v>
      </c>
      <c r="G16" s="64" t="str">
        <f>IFERROR(ROUND(AVERAGEIF('📋 SAISIE'!$C$7:$C$56,'👥 ÉQUIPES'!$B$9,'📋 SAISIE'!$O$7:$O$56),1),"—")</f>
        <v>—</v>
      </c>
      <c r="H16" s="64" t="str">
        <f>IFERROR(ROUND(AVERAGEIF('📋 SAISIE'!$C$7:$C$56,'👥 ÉQUIPES'!$B$10,'📋 SAISIE'!$O$7:$O$56),1),"—")</f>
        <v>—</v>
      </c>
      <c r="I16" s="64" t="str">
        <f>IFERROR(ROUND(AVERAGEIF('📋 SAISIE'!$C$7:$C$56,'👥 ÉQUIPES'!$B$11,'📋 SAISIE'!$O$7:$O$56),1),"—")</f>
        <v>—</v>
      </c>
      <c r="J16" s="64" t="str">
        <f>IFERROR(ROUND(AVERAGEIF('📋 SAISIE'!$C$7:$C$56,'👥 ÉQUIPES'!$B$12,'📋 SAISIE'!$O$7:$O$56),1),"—")</f>
        <v>—</v>
      </c>
    </row>
    <row r="17" spans="2:11" ht="21.75" customHeight="1" x14ac:dyDescent="0.25">
      <c r="B17" s="62" t="s">
        <v>91</v>
      </c>
      <c r="C17" s="63" t="str">
        <f>IFERROR(ROUND(AVERAGEIF('📋 SAISIE'!$C$7:$C$56,'👥 ÉQUIPES'!$B$5,'📋 SAISIE'!$P$7:$P$56),1),"—")</f>
        <v>—</v>
      </c>
      <c r="D17" s="63" t="str">
        <f>IFERROR(ROUND(AVERAGEIF('📋 SAISIE'!$C$7:$C$56,'👥 ÉQUIPES'!$B$6,'📋 SAISIE'!$P$7:$P$56),1),"—")</f>
        <v>—</v>
      </c>
      <c r="E17" s="63" t="str">
        <f>IFERROR(ROUND(AVERAGEIF('📋 SAISIE'!$C$7:$C$56,'👥 ÉQUIPES'!$B$7,'📋 SAISIE'!$P$7:$P$56),1),"—")</f>
        <v>—</v>
      </c>
      <c r="F17" s="63" t="str">
        <f>IFERROR(ROUND(AVERAGEIF('📋 SAISIE'!$C$7:$C$56,'👥 ÉQUIPES'!$B$8,'📋 SAISIE'!$P$7:$P$56),1),"—")</f>
        <v>—</v>
      </c>
      <c r="G17" s="63" t="str">
        <f>IFERROR(ROUND(AVERAGEIF('📋 SAISIE'!$C$7:$C$56,'👥 ÉQUIPES'!$B$9,'📋 SAISIE'!$P$7:$P$56),1),"—")</f>
        <v>—</v>
      </c>
      <c r="H17" s="63" t="str">
        <f>IFERROR(ROUND(AVERAGEIF('📋 SAISIE'!$C$7:$C$56,'👥 ÉQUIPES'!$B$10,'📋 SAISIE'!$P$7:$P$56),1),"—")</f>
        <v>—</v>
      </c>
      <c r="I17" s="63" t="str">
        <f>IFERROR(ROUND(AVERAGEIF('📋 SAISIE'!$C$7:$C$56,'👥 ÉQUIPES'!$B$11,'📋 SAISIE'!$P$7:$P$56),1),"—")</f>
        <v>—</v>
      </c>
      <c r="J17" s="63" t="str">
        <f>IFERROR(ROUND(AVERAGEIF('📋 SAISIE'!$C$7:$C$56,'👥 ÉQUIPES'!$B$12,'📋 SAISIE'!$P$7:$P$56),1),"—")</f>
        <v>—</v>
      </c>
    </row>
    <row r="18" spans="2:11" ht="21.75" customHeight="1" x14ac:dyDescent="0.25">
      <c r="B18" s="62" t="s">
        <v>92</v>
      </c>
      <c r="C18" s="64" t="str">
        <f>IFERROR(ROUND(AVERAGEIF('📋 SAISIE'!$C$7:$C$56,'👥 ÉQUIPES'!$B$5,'📋 SAISIE'!$Q$7:$Q$56),1),"—")</f>
        <v>—</v>
      </c>
      <c r="D18" s="64" t="str">
        <f>IFERROR(ROUND(AVERAGEIF('📋 SAISIE'!$C$7:$C$56,'👥 ÉQUIPES'!$B$6,'📋 SAISIE'!$Q$7:$Q$56),1),"—")</f>
        <v>—</v>
      </c>
      <c r="E18" s="64" t="str">
        <f>IFERROR(ROUND(AVERAGEIF('📋 SAISIE'!$C$7:$C$56,'👥 ÉQUIPES'!$B$7,'📋 SAISIE'!$Q$7:$Q$56),1),"—")</f>
        <v>—</v>
      </c>
      <c r="F18" s="64" t="str">
        <f>IFERROR(ROUND(AVERAGEIF('📋 SAISIE'!$C$7:$C$56,'👥 ÉQUIPES'!$B$8,'📋 SAISIE'!$Q$7:$Q$56),1),"—")</f>
        <v>—</v>
      </c>
      <c r="G18" s="64" t="str">
        <f>IFERROR(ROUND(AVERAGEIF('📋 SAISIE'!$C$7:$C$56,'👥 ÉQUIPES'!$B$9,'📋 SAISIE'!$Q$7:$Q$56),1),"—")</f>
        <v>—</v>
      </c>
      <c r="H18" s="64" t="str">
        <f>IFERROR(ROUND(AVERAGEIF('📋 SAISIE'!$C$7:$C$56,'👥 ÉQUIPES'!$B$10,'📋 SAISIE'!$Q$7:$Q$56),1),"—")</f>
        <v>—</v>
      </c>
      <c r="I18" s="64" t="str">
        <f>IFERROR(ROUND(AVERAGEIF('📋 SAISIE'!$C$7:$C$56,'👥 ÉQUIPES'!$B$11,'📋 SAISIE'!$Q$7:$Q$56),1),"—")</f>
        <v>—</v>
      </c>
      <c r="J18" s="64" t="str">
        <f>IFERROR(ROUND(AVERAGEIF('📋 SAISIE'!$C$7:$C$56,'👥 ÉQUIPES'!$B$12,'📋 SAISIE'!$Q$7:$Q$56),1),"—")</f>
        <v>—</v>
      </c>
    </row>
    <row r="19" spans="2:11" ht="21.75" customHeight="1" x14ac:dyDescent="0.25">
      <c r="B19" s="85" t="s">
        <v>93</v>
      </c>
      <c r="C19" s="85"/>
      <c r="D19" s="85"/>
      <c r="E19" s="85"/>
      <c r="F19" s="85"/>
      <c r="G19" s="85"/>
      <c r="H19" s="85"/>
      <c r="I19" s="85"/>
      <c r="J19" s="85"/>
      <c r="K19" s="85"/>
    </row>
    <row r="20" spans="2:11" ht="21.75" customHeight="1" x14ac:dyDescent="0.25">
      <c r="B20" s="65" t="s">
        <v>94</v>
      </c>
      <c r="C20" s="64" t="str">
        <f>IFERROR(ROUND(AVERAGEIF('📋 SAISIE'!$C$7:$C$56,'👥 ÉQUIPES'!$B$5,'📋 SAISIE'!$R$7:$R$56),1),"—")</f>
        <v>—</v>
      </c>
      <c r="D20" s="64" t="str">
        <f>IFERROR(ROUND(AVERAGEIF('📋 SAISIE'!$C$7:$C$56,'👥 ÉQUIPES'!$B$6,'📋 SAISIE'!$R$7:$R$56),1),"—")</f>
        <v>—</v>
      </c>
      <c r="E20" s="64" t="str">
        <f>IFERROR(ROUND(AVERAGEIF('📋 SAISIE'!$C$7:$C$56,'👥 ÉQUIPES'!$B$7,'📋 SAISIE'!$R$7:$R$56),1),"—")</f>
        <v>—</v>
      </c>
      <c r="F20" s="64" t="str">
        <f>IFERROR(ROUND(AVERAGEIF('📋 SAISIE'!$C$7:$C$56,'👥 ÉQUIPES'!$B$8,'📋 SAISIE'!$R$7:$R$56),1),"—")</f>
        <v>—</v>
      </c>
      <c r="G20" s="64" t="str">
        <f>IFERROR(ROUND(AVERAGEIF('📋 SAISIE'!$C$7:$C$56,'👥 ÉQUIPES'!$B$9,'📋 SAISIE'!$R$7:$R$56),1),"—")</f>
        <v>—</v>
      </c>
      <c r="H20" s="64" t="str">
        <f>IFERROR(ROUND(AVERAGEIF('📋 SAISIE'!$C$7:$C$56,'👥 ÉQUIPES'!$B$10,'📋 SAISIE'!$R$7:$R$56),1),"—")</f>
        <v>—</v>
      </c>
      <c r="I20" s="64" t="str">
        <f>IFERROR(ROUND(AVERAGEIF('📋 SAISIE'!$C$7:$C$56,'👥 ÉQUIPES'!$B$11,'📋 SAISIE'!$R$7:$R$56),1),"—")</f>
        <v>—</v>
      </c>
      <c r="J20" s="64" t="str">
        <f>IFERROR(ROUND(AVERAGEIF('📋 SAISIE'!$C$7:$C$56,'👥 ÉQUIPES'!$B$12,'📋 SAISIE'!$R$7:$R$56),1),"—")</f>
        <v>—</v>
      </c>
    </row>
    <row r="21" spans="2:11" ht="21.75" customHeight="1" x14ac:dyDescent="0.25">
      <c r="B21" s="65" t="s">
        <v>95</v>
      </c>
      <c r="C21" s="63" t="str">
        <f>IFERROR(ROUND(AVERAGEIF('📋 SAISIE'!$C$7:$C$56,'👥 ÉQUIPES'!$B$5,'📋 SAISIE'!$S$7:$S$56),1),"—")</f>
        <v>—</v>
      </c>
      <c r="D21" s="63" t="str">
        <f>IFERROR(ROUND(AVERAGEIF('📋 SAISIE'!$C$7:$C$56,'👥 ÉQUIPES'!$B$6,'📋 SAISIE'!$S$7:$S$56),1),"—")</f>
        <v>—</v>
      </c>
      <c r="E21" s="63" t="str">
        <f>IFERROR(ROUND(AVERAGEIF('📋 SAISIE'!$C$7:$C$56,'👥 ÉQUIPES'!$B$7,'📋 SAISIE'!$S$7:$S$56),1),"—")</f>
        <v>—</v>
      </c>
      <c r="F21" s="63" t="str">
        <f>IFERROR(ROUND(AVERAGEIF('📋 SAISIE'!$C$7:$C$56,'👥 ÉQUIPES'!$B$8,'📋 SAISIE'!$S$7:$S$56),1),"—")</f>
        <v>—</v>
      </c>
      <c r="G21" s="63" t="str">
        <f>IFERROR(ROUND(AVERAGEIF('📋 SAISIE'!$C$7:$C$56,'👥 ÉQUIPES'!$B$9,'📋 SAISIE'!$S$7:$S$56),1),"—")</f>
        <v>—</v>
      </c>
      <c r="H21" s="63" t="str">
        <f>IFERROR(ROUND(AVERAGEIF('📋 SAISIE'!$C$7:$C$56,'👥 ÉQUIPES'!$B$10,'📋 SAISIE'!$S$7:$S$56),1),"—")</f>
        <v>—</v>
      </c>
      <c r="I21" s="63" t="str">
        <f>IFERROR(ROUND(AVERAGEIF('📋 SAISIE'!$C$7:$C$56,'👥 ÉQUIPES'!$B$11,'📋 SAISIE'!$S$7:$S$56),1),"—")</f>
        <v>—</v>
      </c>
      <c r="J21" s="63" t="str">
        <f>IFERROR(ROUND(AVERAGEIF('📋 SAISIE'!$C$7:$C$56,'👥 ÉQUIPES'!$B$12,'📋 SAISIE'!$S$7:$S$56),1),"—")</f>
        <v>—</v>
      </c>
    </row>
    <row r="22" spans="2:11" ht="21.75" customHeight="1" x14ac:dyDescent="0.25">
      <c r="B22" s="65" t="s">
        <v>96</v>
      </c>
      <c r="C22" s="64" t="str">
        <f>IFERROR(ROUND(AVERAGEIF('📋 SAISIE'!$C$7:$C$56,'👥 ÉQUIPES'!$B$5,'📋 SAISIE'!$T$7:$T$56),1),"—")</f>
        <v>—</v>
      </c>
      <c r="D22" s="64" t="str">
        <f>IFERROR(ROUND(AVERAGEIF('📋 SAISIE'!$C$7:$C$56,'👥 ÉQUIPES'!$B$6,'📋 SAISIE'!$T$7:$T$56),1),"—")</f>
        <v>—</v>
      </c>
      <c r="E22" s="64" t="str">
        <f>IFERROR(ROUND(AVERAGEIF('📋 SAISIE'!$C$7:$C$56,'👥 ÉQUIPES'!$B$7,'📋 SAISIE'!$T$7:$T$56),1),"—")</f>
        <v>—</v>
      </c>
      <c r="F22" s="64" t="str">
        <f>IFERROR(ROUND(AVERAGEIF('📋 SAISIE'!$C$7:$C$56,'👥 ÉQUIPES'!$B$8,'📋 SAISIE'!$T$7:$T$56),1),"—")</f>
        <v>—</v>
      </c>
      <c r="G22" s="64" t="str">
        <f>IFERROR(ROUND(AVERAGEIF('📋 SAISIE'!$C$7:$C$56,'👥 ÉQUIPES'!$B$9,'📋 SAISIE'!$T$7:$T$56),1),"—")</f>
        <v>—</v>
      </c>
      <c r="H22" s="64" t="str">
        <f>IFERROR(ROUND(AVERAGEIF('📋 SAISIE'!$C$7:$C$56,'👥 ÉQUIPES'!$B$10,'📋 SAISIE'!$T$7:$T$56),1),"—")</f>
        <v>—</v>
      </c>
      <c r="I22" s="64" t="str">
        <f>IFERROR(ROUND(AVERAGEIF('📋 SAISIE'!$C$7:$C$56,'👥 ÉQUIPES'!$B$11,'📋 SAISIE'!$T$7:$T$56),1),"—")</f>
        <v>—</v>
      </c>
      <c r="J22" s="64" t="str">
        <f>IFERROR(ROUND(AVERAGEIF('📋 SAISIE'!$C$7:$C$56,'👥 ÉQUIPES'!$B$12,'📋 SAISIE'!$T$7:$T$56),1),"—")</f>
        <v>—</v>
      </c>
    </row>
    <row r="23" spans="2:11" ht="21.75" customHeight="1" x14ac:dyDescent="0.25">
      <c r="B23" s="65" t="s">
        <v>97</v>
      </c>
      <c r="C23" s="63" t="str">
        <f>IFERROR(ROUND(AVERAGEIF('📋 SAISIE'!$C$7:$C$56,'👥 ÉQUIPES'!$B$5,'📋 SAISIE'!$U$7:$U$56),1),"—")</f>
        <v>—</v>
      </c>
      <c r="D23" s="63" t="str">
        <f>IFERROR(ROUND(AVERAGEIF('📋 SAISIE'!$C$7:$C$56,'👥 ÉQUIPES'!$B$6,'📋 SAISIE'!$U$7:$U$56),1),"—")</f>
        <v>—</v>
      </c>
      <c r="E23" s="63" t="str">
        <f>IFERROR(ROUND(AVERAGEIF('📋 SAISIE'!$C$7:$C$56,'👥 ÉQUIPES'!$B$7,'📋 SAISIE'!$U$7:$U$56),1),"—")</f>
        <v>—</v>
      </c>
      <c r="F23" s="63" t="str">
        <f>IFERROR(ROUND(AVERAGEIF('📋 SAISIE'!$C$7:$C$56,'👥 ÉQUIPES'!$B$8,'📋 SAISIE'!$U$7:$U$56),1),"—")</f>
        <v>—</v>
      </c>
      <c r="G23" s="63" t="str">
        <f>IFERROR(ROUND(AVERAGEIF('📋 SAISIE'!$C$7:$C$56,'👥 ÉQUIPES'!$B$9,'📋 SAISIE'!$U$7:$U$56),1),"—")</f>
        <v>—</v>
      </c>
      <c r="H23" s="63" t="str">
        <f>IFERROR(ROUND(AVERAGEIF('📋 SAISIE'!$C$7:$C$56,'👥 ÉQUIPES'!$B$10,'📋 SAISIE'!$U$7:$U$56),1),"—")</f>
        <v>—</v>
      </c>
      <c r="I23" s="63" t="str">
        <f>IFERROR(ROUND(AVERAGEIF('📋 SAISIE'!$C$7:$C$56,'👥 ÉQUIPES'!$B$11,'📋 SAISIE'!$U$7:$U$56),1),"—")</f>
        <v>—</v>
      </c>
      <c r="J23" s="63" t="str">
        <f>IFERROR(ROUND(AVERAGEIF('📋 SAISIE'!$C$7:$C$56,'👥 ÉQUIPES'!$B$12,'📋 SAISIE'!$U$7:$U$56),1),"—")</f>
        <v>—</v>
      </c>
    </row>
    <row r="24" spans="2:11" ht="21.75" customHeight="1" x14ac:dyDescent="0.25">
      <c r="B24" s="65" t="s">
        <v>98</v>
      </c>
      <c r="C24" s="64" t="str">
        <f>IFERROR(ROUND(AVERAGEIF('📋 SAISIE'!$C$7:$C$56,'👥 ÉQUIPES'!$B$5,'📋 SAISIE'!$V$7:$V$56),1),"—")</f>
        <v>—</v>
      </c>
      <c r="D24" s="64" t="str">
        <f>IFERROR(ROUND(AVERAGEIF('📋 SAISIE'!$C$7:$C$56,'👥 ÉQUIPES'!$B$6,'📋 SAISIE'!$V$7:$V$56),1),"—")</f>
        <v>—</v>
      </c>
      <c r="E24" s="64" t="str">
        <f>IFERROR(ROUND(AVERAGEIF('📋 SAISIE'!$C$7:$C$56,'👥 ÉQUIPES'!$B$7,'📋 SAISIE'!$V$7:$V$56),1),"—")</f>
        <v>—</v>
      </c>
      <c r="F24" s="64" t="str">
        <f>IFERROR(ROUND(AVERAGEIF('📋 SAISIE'!$C$7:$C$56,'👥 ÉQUIPES'!$B$8,'📋 SAISIE'!$V$7:$V$56),1),"—")</f>
        <v>—</v>
      </c>
      <c r="G24" s="64" t="str">
        <f>IFERROR(ROUND(AVERAGEIF('📋 SAISIE'!$C$7:$C$56,'👥 ÉQUIPES'!$B$9,'📋 SAISIE'!$V$7:$V$56),1),"—")</f>
        <v>—</v>
      </c>
      <c r="H24" s="64" t="str">
        <f>IFERROR(ROUND(AVERAGEIF('📋 SAISIE'!$C$7:$C$56,'👥 ÉQUIPES'!$B$10,'📋 SAISIE'!$V$7:$V$56),1),"—")</f>
        <v>—</v>
      </c>
      <c r="I24" s="64" t="str">
        <f>IFERROR(ROUND(AVERAGEIF('📋 SAISIE'!$C$7:$C$56,'👥 ÉQUIPES'!$B$11,'📋 SAISIE'!$V$7:$V$56),1),"—")</f>
        <v>—</v>
      </c>
      <c r="J24" s="64" t="str">
        <f>IFERROR(ROUND(AVERAGEIF('📋 SAISIE'!$C$7:$C$56,'👥 ÉQUIPES'!$B$12,'📋 SAISIE'!$V$7:$V$56),1),"—")</f>
        <v>—</v>
      </c>
    </row>
    <row r="25" spans="2:11" ht="21.75" customHeight="1" x14ac:dyDescent="0.25">
      <c r="B25" s="65" t="s">
        <v>99</v>
      </c>
      <c r="C25" s="63" t="str">
        <f>IFERROR(ROUND(AVERAGEIF('📋 SAISIE'!$C$7:$C$56,'👥 ÉQUIPES'!$B$5,'📋 SAISIE'!$W$7:$W$56),1),"—")</f>
        <v>—</v>
      </c>
      <c r="D25" s="63" t="str">
        <f>IFERROR(ROUND(AVERAGEIF('📋 SAISIE'!$C$7:$C$56,'👥 ÉQUIPES'!$B$6,'📋 SAISIE'!$W$7:$W$56),1),"—")</f>
        <v>—</v>
      </c>
      <c r="E25" s="63" t="str">
        <f>IFERROR(ROUND(AVERAGEIF('📋 SAISIE'!$C$7:$C$56,'👥 ÉQUIPES'!$B$7,'📋 SAISIE'!$W$7:$W$56),1),"—")</f>
        <v>—</v>
      </c>
      <c r="F25" s="63" t="str">
        <f>IFERROR(ROUND(AVERAGEIF('📋 SAISIE'!$C$7:$C$56,'👥 ÉQUIPES'!$B$8,'📋 SAISIE'!$W$7:$W$56),1),"—")</f>
        <v>—</v>
      </c>
      <c r="G25" s="63" t="str">
        <f>IFERROR(ROUND(AVERAGEIF('📋 SAISIE'!$C$7:$C$56,'👥 ÉQUIPES'!$B$9,'📋 SAISIE'!$W$7:$W$56),1),"—")</f>
        <v>—</v>
      </c>
      <c r="H25" s="63" t="str">
        <f>IFERROR(ROUND(AVERAGEIF('📋 SAISIE'!$C$7:$C$56,'👥 ÉQUIPES'!$B$10,'📋 SAISIE'!$W$7:$W$56),1),"—")</f>
        <v>—</v>
      </c>
      <c r="I25" s="63" t="str">
        <f>IFERROR(ROUND(AVERAGEIF('📋 SAISIE'!$C$7:$C$56,'👥 ÉQUIPES'!$B$11,'📋 SAISIE'!$W$7:$W$56),1),"—")</f>
        <v>—</v>
      </c>
      <c r="J25" s="63" t="str">
        <f>IFERROR(ROUND(AVERAGEIF('📋 SAISIE'!$C$7:$C$56,'👥 ÉQUIPES'!$B$12,'📋 SAISIE'!$W$7:$W$56),1),"—")</f>
        <v>—</v>
      </c>
    </row>
    <row r="26" spans="2:11" ht="21.75" customHeight="1" x14ac:dyDescent="0.25">
      <c r="B26" s="65" t="s">
        <v>100</v>
      </c>
      <c r="C26" s="64" t="str">
        <f>IFERROR(ROUND(AVERAGEIF('📋 SAISIE'!$C$7:$C$56,'👥 ÉQUIPES'!$B$5,'📋 SAISIE'!$X$7:$X$56),1),"—")</f>
        <v>—</v>
      </c>
      <c r="D26" s="64" t="str">
        <f>IFERROR(ROUND(AVERAGEIF('📋 SAISIE'!$C$7:$C$56,'👥 ÉQUIPES'!$B$6,'📋 SAISIE'!$X$7:$X$56),1),"—")</f>
        <v>—</v>
      </c>
      <c r="E26" s="64" t="str">
        <f>IFERROR(ROUND(AVERAGEIF('📋 SAISIE'!$C$7:$C$56,'👥 ÉQUIPES'!$B$7,'📋 SAISIE'!$X$7:$X$56),1),"—")</f>
        <v>—</v>
      </c>
      <c r="F26" s="64" t="str">
        <f>IFERROR(ROUND(AVERAGEIF('📋 SAISIE'!$C$7:$C$56,'👥 ÉQUIPES'!$B$8,'📋 SAISIE'!$X$7:$X$56),1),"—")</f>
        <v>—</v>
      </c>
      <c r="G26" s="64" t="str">
        <f>IFERROR(ROUND(AVERAGEIF('📋 SAISIE'!$C$7:$C$56,'👥 ÉQUIPES'!$B$9,'📋 SAISIE'!$X$7:$X$56),1),"—")</f>
        <v>—</v>
      </c>
      <c r="H26" s="64" t="str">
        <f>IFERROR(ROUND(AVERAGEIF('📋 SAISIE'!$C$7:$C$56,'👥 ÉQUIPES'!$B$10,'📋 SAISIE'!$X$7:$X$56),1),"—")</f>
        <v>—</v>
      </c>
      <c r="I26" s="64" t="str">
        <f>IFERROR(ROUND(AVERAGEIF('📋 SAISIE'!$C$7:$C$56,'👥 ÉQUIPES'!$B$11,'📋 SAISIE'!$X$7:$X$56),1),"—")</f>
        <v>—</v>
      </c>
      <c r="J26" s="64" t="str">
        <f>IFERROR(ROUND(AVERAGEIF('📋 SAISIE'!$C$7:$C$56,'👥 ÉQUIPES'!$B$12,'📋 SAISIE'!$X$7:$X$56),1),"—")</f>
        <v>—</v>
      </c>
    </row>
    <row r="27" spans="2:11" ht="21.75" customHeight="1" x14ac:dyDescent="0.25">
      <c r="B27" s="65" t="s">
        <v>101</v>
      </c>
      <c r="C27" s="63" t="str">
        <f>IFERROR(ROUND(AVERAGEIF('📋 SAISIE'!$C$7:$C$56,'👥 ÉQUIPES'!$B$5,'📋 SAISIE'!$Y$7:$Y$56),1),"—")</f>
        <v>—</v>
      </c>
      <c r="D27" s="63" t="str">
        <f>IFERROR(ROUND(AVERAGEIF('📋 SAISIE'!$C$7:$C$56,'👥 ÉQUIPES'!$B$6,'📋 SAISIE'!$Y$7:$Y$56),1),"—")</f>
        <v>—</v>
      </c>
      <c r="E27" s="63" t="str">
        <f>IFERROR(ROUND(AVERAGEIF('📋 SAISIE'!$C$7:$C$56,'👥 ÉQUIPES'!$B$7,'📋 SAISIE'!$Y$7:$Y$56),1),"—")</f>
        <v>—</v>
      </c>
      <c r="F27" s="63" t="str">
        <f>IFERROR(ROUND(AVERAGEIF('📋 SAISIE'!$C$7:$C$56,'👥 ÉQUIPES'!$B$8,'📋 SAISIE'!$Y$7:$Y$56),1),"—")</f>
        <v>—</v>
      </c>
      <c r="G27" s="63" t="str">
        <f>IFERROR(ROUND(AVERAGEIF('📋 SAISIE'!$C$7:$C$56,'👥 ÉQUIPES'!$B$9,'📋 SAISIE'!$Y$7:$Y$56),1),"—")</f>
        <v>—</v>
      </c>
      <c r="H27" s="63" t="str">
        <f>IFERROR(ROUND(AVERAGEIF('📋 SAISIE'!$C$7:$C$56,'👥 ÉQUIPES'!$B$10,'📋 SAISIE'!$Y$7:$Y$56),1),"—")</f>
        <v>—</v>
      </c>
      <c r="I27" s="63" t="str">
        <f>IFERROR(ROUND(AVERAGEIF('📋 SAISIE'!$C$7:$C$56,'👥 ÉQUIPES'!$B$11,'📋 SAISIE'!$Y$7:$Y$56),1),"—")</f>
        <v>—</v>
      </c>
      <c r="J27" s="63" t="str">
        <f>IFERROR(ROUND(AVERAGEIF('📋 SAISIE'!$C$7:$C$56,'👥 ÉQUIPES'!$B$12,'📋 SAISIE'!$Y$7:$Y$56),1),"—")</f>
        <v>—</v>
      </c>
    </row>
    <row r="28" spans="2:11" ht="21.75" customHeight="1" x14ac:dyDescent="0.25">
      <c r="B28" s="65" t="s">
        <v>102</v>
      </c>
      <c r="C28" s="64" t="str">
        <f>IFERROR(ROUND(AVERAGEIF('📋 SAISIE'!$C$7:$C$56,'👥 ÉQUIPES'!$B$5,'📋 SAISIE'!$Z$7:$Z$56),1),"—")</f>
        <v>—</v>
      </c>
      <c r="D28" s="64" t="str">
        <f>IFERROR(ROUND(AVERAGEIF('📋 SAISIE'!$C$7:$C$56,'👥 ÉQUIPES'!$B$6,'📋 SAISIE'!$Z$7:$Z$56),1),"—")</f>
        <v>—</v>
      </c>
      <c r="E28" s="64" t="str">
        <f>IFERROR(ROUND(AVERAGEIF('📋 SAISIE'!$C$7:$C$56,'👥 ÉQUIPES'!$B$7,'📋 SAISIE'!$Z$7:$Z$56),1),"—")</f>
        <v>—</v>
      </c>
      <c r="F28" s="64" t="str">
        <f>IFERROR(ROUND(AVERAGEIF('📋 SAISIE'!$C$7:$C$56,'👥 ÉQUIPES'!$B$8,'📋 SAISIE'!$Z$7:$Z$56),1),"—")</f>
        <v>—</v>
      </c>
      <c r="G28" s="64" t="str">
        <f>IFERROR(ROUND(AVERAGEIF('📋 SAISIE'!$C$7:$C$56,'👥 ÉQUIPES'!$B$9,'📋 SAISIE'!$Z$7:$Z$56),1),"—")</f>
        <v>—</v>
      </c>
      <c r="H28" s="64" t="str">
        <f>IFERROR(ROUND(AVERAGEIF('📋 SAISIE'!$C$7:$C$56,'👥 ÉQUIPES'!$B$10,'📋 SAISIE'!$Z$7:$Z$56),1),"—")</f>
        <v>—</v>
      </c>
      <c r="I28" s="64" t="str">
        <f>IFERROR(ROUND(AVERAGEIF('📋 SAISIE'!$C$7:$C$56,'👥 ÉQUIPES'!$B$11,'📋 SAISIE'!$Z$7:$Z$56),1),"—")</f>
        <v>—</v>
      </c>
      <c r="J28" s="64" t="str">
        <f>IFERROR(ROUND(AVERAGEIF('📋 SAISIE'!$C$7:$C$56,'👥 ÉQUIPES'!$B$12,'📋 SAISIE'!$Z$7:$Z$56),1),"—")</f>
        <v>—</v>
      </c>
    </row>
    <row r="29" spans="2:11" ht="21.75" customHeight="1" x14ac:dyDescent="0.25">
      <c r="B29" s="65" t="s">
        <v>103</v>
      </c>
      <c r="C29" s="63" t="str">
        <f>IFERROR(ROUND(AVERAGEIF('📋 SAISIE'!$C$7:$C$56,'👥 ÉQUIPES'!$B$5,'📋 SAISIE'!$AA$7:$AA$56),1),"—")</f>
        <v>—</v>
      </c>
      <c r="D29" s="63" t="str">
        <f>IFERROR(ROUND(AVERAGEIF('📋 SAISIE'!$C$7:$C$56,'👥 ÉQUIPES'!$B$6,'📋 SAISIE'!$AA$7:$AA$56),1),"—")</f>
        <v>—</v>
      </c>
      <c r="E29" s="63" t="str">
        <f>IFERROR(ROUND(AVERAGEIF('📋 SAISIE'!$C$7:$C$56,'👥 ÉQUIPES'!$B$7,'📋 SAISIE'!$AA$7:$AA$56),1),"—")</f>
        <v>—</v>
      </c>
      <c r="F29" s="63" t="str">
        <f>IFERROR(ROUND(AVERAGEIF('📋 SAISIE'!$C$7:$C$56,'👥 ÉQUIPES'!$B$8,'📋 SAISIE'!$AA$7:$AA$56),1),"—")</f>
        <v>—</v>
      </c>
      <c r="G29" s="63" t="str">
        <f>IFERROR(ROUND(AVERAGEIF('📋 SAISIE'!$C$7:$C$56,'👥 ÉQUIPES'!$B$9,'📋 SAISIE'!$AA$7:$AA$56),1),"—")</f>
        <v>—</v>
      </c>
      <c r="H29" s="63" t="str">
        <f>IFERROR(ROUND(AVERAGEIF('📋 SAISIE'!$C$7:$C$56,'👥 ÉQUIPES'!$B$10,'📋 SAISIE'!$AA$7:$AA$56),1),"—")</f>
        <v>—</v>
      </c>
      <c r="I29" s="63" t="str">
        <f>IFERROR(ROUND(AVERAGEIF('📋 SAISIE'!$C$7:$C$56,'👥 ÉQUIPES'!$B$11,'📋 SAISIE'!$AA$7:$AA$56),1),"—")</f>
        <v>—</v>
      </c>
      <c r="J29" s="63" t="str">
        <f>IFERROR(ROUND(AVERAGEIF('📋 SAISIE'!$C$7:$C$56,'👥 ÉQUIPES'!$B$12,'📋 SAISIE'!$AA$7:$AA$56),1),"—")</f>
        <v>—</v>
      </c>
    </row>
  </sheetData>
  <mergeCells count="13">
    <mergeCell ref="B6:K6"/>
    <mergeCell ref="B19:K19"/>
    <mergeCell ref="A1:K1"/>
    <mergeCell ref="A2:K2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H24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6" customWidth="1"/>
    <col min="2" max="2" width="22" customWidth="1"/>
    <col min="3" max="6" width="16" customWidth="1"/>
    <col min="7" max="7" width="40" customWidth="1"/>
    <col min="8" max="8" width="6" customWidth="1"/>
  </cols>
  <sheetData>
    <row r="1" spans="1:8" ht="33.75" customHeight="1" x14ac:dyDescent="0.25">
      <c r="A1" s="14" t="s">
        <v>104</v>
      </c>
      <c r="B1" s="14"/>
      <c r="C1" s="14"/>
      <c r="D1" s="14"/>
      <c r="E1" s="14"/>
      <c r="F1" s="14"/>
      <c r="G1" s="14"/>
      <c r="H1" s="14"/>
    </row>
    <row r="2" spans="1:8" ht="19.5" customHeight="1" x14ac:dyDescent="0.25">
      <c r="A2" s="13" t="s">
        <v>105</v>
      </c>
      <c r="B2" s="13"/>
      <c r="C2" s="13"/>
      <c r="D2" s="13"/>
      <c r="E2" s="13"/>
      <c r="F2" s="13"/>
      <c r="G2" s="13"/>
      <c r="H2" s="13"/>
    </row>
    <row r="3" spans="1:8" ht="7.5" customHeight="1" x14ac:dyDescent="0.25"/>
    <row r="4" spans="1:8" ht="36" customHeight="1" x14ac:dyDescent="0.25">
      <c r="B4" s="15" t="s">
        <v>57</v>
      </c>
      <c r="C4" s="23" t="s">
        <v>73</v>
      </c>
      <c r="D4" s="23" t="s">
        <v>106</v>
      </c>
      <c r="E4" s="21" t="s">
        <v>107</v>
      </c>
      <c r="F4" s="22" t="s">
        <v>108</v>
      </c>
      <c r="G4" s="24" t="s">
        <v>109</v>
      </c>
    </row>
    <row r="5" spans="1:8" ht="43.5" customHeight="1" x14ac:dyDescent="0.25">
      <c r="B5" s="66" t="str">
        <f>'👥 ÉQUIPES'!$B$5</f>
        <v>Équipe A</v>
      </c>
      <c r="C5" s="67" t="str">
        <f>'📊 TABLEAU DE BORD'!G7</f>
        <v>—</v>
      </c>
      <c r="D5" s="68" t="str">
        <f>'📊 TABLEAU DE BORD'!H7</f>
        <v>—</v>
      </c>
      <c r="E5" s="69" t="str">
        <f>IF('📊 TABLEAU DE BORD'!G7="—","⏳ Aucune donnée",IF('📊 TABLEAU DE BORD'!H7="A","✅ PAS DE FORMATION",IF('📊 TABLEAU DE BORD'!H7="B","📋 SUIVI MENSUEL",IF('📊 TABLEAU DE BORD'!H7="C","📚 FORMATION OBLIGATOIRE","🆘 REMISE À NIVEAU URGENTE"))))</f>
        <v>⏳ Aucune donnée</v>
      </c>
      <c r="F5" s="70" t="str">
        <f>IF('📊 TABLEAU DE BORD'!H7="—","—",IF('📊 TABLEAU DE BORD'!H7="A","Dans 6 mois",IF('📊 TABLEAU DE BORD'!H7="B","Dans 3 mois",IF('📊 TABLEAU DE BORD'!H7="C","Sous 30 jours","Sous 15 jours (URGENT)"))))</f>
        <v>—</v>
      </c>
      <c r="G5" s="35" t="str">
        <f>IF('📊 TABLEAU DE BORD'!G7="—","Aucune intervention enregistrée pour cette équipe.",IF('📊 TABLEAU DE BORD'!H7="A","🏆 "&amp;B5&amp;" excelle sur "&amp;'📊 TABLEAU DE BORD'!C7&amp;" intervention(s). Score moy "&amp;ROUND('📊 TABLEAU DE BORD'!G7,1)&amp;"/100. Maintenir le niveau, prévoir bilan semestriel.",IF('📊 TABLEAU DE BORD'!H7="B","✅ "&amp;B5&amp;" est opérationnelle sur "&amp;'📊 TABLEAU DE BORD'!C7&amp;" intervention(s). Score moy "&amp;ROUND('📊 TABLEAU DE BORD'!G7,1)&amp;"/100. Identifier les critères &lt; 4 dans l'onglet ⚠️ et planifier un coaching ciblé.",IF('📊 TABLEAU DE BORD'!H7="C","⚠️ "&amp;B5&amp;" nécessite un accompagnement sur "&amp;'📊 TABLEAU DE BORD'!C7&amp;" intervention(s). Score moy "&amp;ROUND('📊 TABLEAU DE BORD'!G7,1)&amp;"/100. Plan de formation 30 jours. Suivi hebdomadaire obligatoire. Revoir les critères rouges dans ⚠️ CRITÈRES FAIBLES.","🚨 "&amp;B5&amp;" : situation critique sur "&amp;'📊 TABLEAU DE BORD'!C7&amp;" intervention(s). Score moy "&amp;ROUND('📊 TABLEAU DE BORD'!G7,1)&amp;"/100. Remise à niveau immédiate. Accompagnement terrain quotidien. Réévaluation sous 15 jours. Voir critères ⚠️."))))</f>
        <v>Aucune intervention enregistrée pour cette équipe.</v>
      </c>
    </row>
    <row r="6" spans="1:8" ht="43.5" customHeight="1" x14ac:dyDescent="0.25">
      <c r="B6" s="71" t="str">
        <f>'👥 ÉQUIPES'!$B$6</f>
        <v>Équipe B</v>
      </c>
      <c r="C6" s="72" t="str">
        <f>'📊 TABLEAU DE BORD'!G8</f>
        <v>—</v>
      </c>
      <c r="D6" s="73" t="str">
        <f>'📊 TABLEAU DE BORD'!H8</f>
        <v>—</v>
      </c>
      <c r="E6" s="74" t="str">
        <f>IF('📊 TABLEAU DE BORD'!G8="—","⏳ Aucune donnée",IF('📊 TABLEAU DE BORD'!H8="A","✅ PAS DE FORMATION",IF('📊 TABLEAU DE BORD'!H8="B","📋 SUIVI MENSUEL",IF('📊 TABLEAU DE BORD'!H8="C","📚 FORMATION OBLIGATOIRE","🆘 REMISE À NIVEAU URGENTE"))))</f>
        <v>⏳ Aucune donnée</v>
      </c>
      <c r="F6" s="75" t="str">
        <f>IF('📊 TABLEAU DE BORD'!H8="—","—",IF('📊 TABLEAU DE BORD'!H8="A","Dans 6 mois",IF('📊 TABLEAU DE BORD'!H8="B","Dans 3 mois",IF('📊 TABLEAU DE BORD'!H8="C","Sous 30 jours","Sous 15 jours (URGENT)"))))</f>
        <v>—</v>
      </c>
      <c r="G6" s="47" t="str">
        <f>IF('📊 TABLEAU DE BORD'!G8="—","Aucune intervention enregistrée pour cette équipe.",IF('📊 TABLEAU DE BORD'!H8="A","🏆 "&amp;B6&amp;" excelle sur "&amp;'📊 TABLEAU DE BORD'!C8&amp;" intervention(s). Score moy "&amp;ROUND('📊 TABLEAU DE BORD'!G8,1)&amp;"/100. Maintenir le niveau, prévoir bilan semestriel.",IF('📊 TABLEAU DE BORD'!H8="B","✅ "&amp;B6&amp;" est opérationnelle sur "&amp;'📊 TABLEAU DE BORD'!C8&amp;" intervention(s). Score moy "&amp;ROUND('📊 TABLEAU DE BORD'!G8,1)&amp;"/100. Identifier les critères &lt; 4 dans l'onglet ⚠️ et planifier un coaching ciblé.",IF('📊 TABLEAU DE BORD'!H8="C","⚠️ "&amp;B6&amp;" nécessite un accompagnement sur "&amp;'📊 TABLEAU DE BORD'!C8&amp;" intervention(s). Score moy "&amp;ROUND('📊 TABLEAU DE BORD'!G8,1)&amp;"/100. Plan de formation 30 jours. Suivi hebdomadaire obligatoire. Revoir les critères rouges dans ⚠️ CRITÈRES FAIBLES.","🚨 "&amp;B6&amp;" : situation critique sur "&amp;'📊 TABLEAU DE BORD'!C8&amp;" intervention(s). Score moy "&amp;ROUND('📊 TABLEAU DE BORD'!G8,1)&amp;"/100. Remise à niveau immédiate. Accompagnement terrain quotidien. Réévaluation sous 15 jours. Voir critères ⚠️."))))</f>
        <v>Aucune intervention enregistrée pour cette équipe.</v>
      </c>
    </row>
    <row r="7" spans="1:8" ht="43.5" customHeight="1" x14ac:dyDescent="0.25">
      <c r="B7" s="66" t="str">
        <f>'👥 ÉQUIPES'!$B$7</f>
        <v>Équipe C</v>
      </c>
      <c r="C7" s="67" t="str">
        <f>'📊 TABLEAU DE BORD'!G9</f>
        <v>—</v>
      </c>
      <c r="D7" s="68" t="str">
        <f>'📊 TABLEAU DE BORD'!H9</f>
        <v>—</v>
      </c>
      <c r="E7" s="69" t="str">
        <f>IF('📊 TABLEAU DE BORD'!G9="—","⏳ Aucune donnée",IF('📊 TABLEAU DE BORD'!H9="A","✅ PAS DE FORMATION",IF('📊 TABLEAU DE BORD'!H9="B","📋 SUIVI MENSUEL",IF('📊 TABLEAU DE BORD'!H9="C","📚 FORMATION OBLIGATOIRE","🆘 REMISE À NIVEAU URGENTE"))))</f>
        <v>⏳ Aucune donnée</v>
      </c>
      <c r="F7" s="70" t="str">
        <f>IF('📊 TABLEAU DE BORD'!H9="—","—",IF('📊 TABLEAU DE BORD'!H9="A","Dans 6 mois",IF('📊 TABLEAU DE BORD'!H9="B","Dans 3 mois",IF('📊 TABLEAU DE BORD'!H9="C","Sous 30 jours","Sous 15 jours (URGENT)"))))</f>
        <v>—</v>
      </c>
      <c r="G7" s="35" t="str">
        <f>IF('📊 TABLEAU DE BORD'!G9="—","Aucune intervention enregistrée pour cette équipe.",IF('📊 TABLEAU DE BORD'!H9="A","🏆 "&amp;B7&amp;" excelle sur "&amp;'📊 TABLEAU DE BORD'!C9&amp;" intervention(s). Score moy "&amp;ROUND('📊 TABLEAU DE BORD'!G9,1)&amp;"/100. Maintenir le niveau, prévoir bilan semestriel.",IF('📊 TABLEAU DE BORD'!H9="B","✅ "&amp;B7&amp;" est opérationnelle sur "&amp;'📊 TABLEAU DE BORD'!C9&amp;" intervention(s). Score moy "&amp;ROUND('📊 TABLEAU DE BORD'!G9,1)&amp;"/100. Identifier les critères &lt; 4 dans l'onglet ⚠️ et planifier un coaching ciblé.",IF('📊 TABLEAU DE BORD'!H9="C","⚠️ "&amp;B7&amp;" nécessite un accompagnement sur "&amp;'📊 TABLEAU DE BORD'!C9&amp;" intervention(s). Score moy "&amp;ROUND('📊 TABLEAU DE BORD'!G9,1)&amp;"/100. Plan de formation 30 jours. Suivi hebdomadaire obligatoire. Revoir les critères rouges dans ⚠️ CRITÈRES FAIBLES.","🚨 "&amp;B7&amp;" : situation critique sur "&amp;'📊 TABLEAU DE BORD'!C9&amp;" intervention(s). Score moy "&amp;ROUND('📊 TABLEAU DE BORD'!G9,1)&amp;"/100. Remise à niveau immédiate. Accompagnement terrain quotidien. Réévaluation sous 15 jours. Voir critères ⚠️."))))</f>
        <v>Aucune intervention enregistrée pour cette équipe.</v>
      </c>
    </row>
    <row r="8" spans="1:8" ht="43.5" customHeight="1" x14ac:dyDescent="0.25">
      <c r="B8" s="71" t="str">
        <f>'👥 ÉQUIPES'!$B$8</f>
        <v>Équipe D</v>
      </c>
      <c r="C8" s="72" t="str">
        <f>'📊 TABLEAU DE BORD'!G10</f>
        <v>—</v>
      </c>
      <c r="D8" s="73" t="str">
        <f>'📊 TABLEAU DE BORD'!H10</f>
        <v>—</v>
      </c>
      <c r="E8" s="74" t="str">
        <f>IF('📊 TABLEAU DE BORD'!G10="—","⏳ Aucune donnée",IF('📊 TABLEAU DE BORD'!H10="A","✅ PAS DE FORMATION",IF('📊 TABLEAU DE BORD'!H10="B","📋 SUIVI MENSUEL",IF('📊 TABLEAU DE BORD'!H10="C","📚 FORMATION OBLIGATOIRE","🆘 REMISE À NIVEAU URGENTE"))))</f>
        <v>⏳ Aucune donnée</v>
      </c>
      <c r="F8" s="75" t="str">
        <f>IF('📊 TABLEAU DE BORD'!H10="—","—",IF('📊 TABLEAU DE BORD'!H10="A","Dans 6 mois",IF('📊 TABLEAU DE BORD'!H10="B","Dans 3 mois",IF('📊 TABLEAU DE BORD'!H10="C","Sous 30 jours","Sous 15 jours (URGENT)"))))</f>
        <v>—</v>
      </c>
      <c r="G8" s="47" t="str">
        <f>IF('📊 TABLEAU DE BORD'!G10="—","Aucune intervention enregistrée pour cette équipe.",IF('📊 TABLEAU DE BORD'!H10="A","🏆 "&amp;B8&amp;" excelle sur "&amp;'📊 TABLEAU DE BORD'!C10&amp;" intervention(s). Score moy "&amp;ROUND('📊 TABLEAU DE BORD'!G10,1)&amp;"/100. Maintenir le niveau, prévoir bilan semestriel.",IF('📊 TABLEAU DE BORD'!H10="B","✅ "&amp;B8&amp;" est opérationnelle sur "&amp;'📊 TABLEAU DE BORD'!C10&amp;" intervention(s). Score moy "&amp;ROUND('📊 TABLEAU DE BORD'!G10,1)&amp;"/100. Identifier les critères &lt; 4 dans l'onglet ⚠️ et planifier un coaching ciblé.",IF('📊 TABLEAU DE BORD'!H10="C","⚠️ "&amp;B8&amp;" nécessite un accompagnement sur "&amp;'📊 TABLEAU DE BORD'!C10&amp;" intervention(s). Score moy "&amp;ROUND('📊 TABLEAU DE BORD'!G10,1)&amp;"/100. Plan de formation 30 jours. Suivi hebdomadaire obligatoire. Revoir les critères rouges dans ⚠️ CRITÈRES FAIBLES.","🚨 "&amp;B8&amp;" : situation critique sur "&amp;'📊 TABLEAU DE BORD'!C10&amp;" intervention(s). Score moy "&amp;ROUND('📊 TABLEAU DE BORD'!G10,1)&amp;"/100. Remise à niveau immédiate. Accompagnement terrain quotidien. Réévaluation sous 15 jours. Voir critères ⚠️."))))</f>
        <v>Aucune intervention enregistrée pour cette équipe.</v>
      </c>
    </row>
    <row r="9" spans="1:8" ht="43.5" customHeight="1" x14ac:dyDescent="0.25">
      <c r="B9" s="66" t="str">
        <f>'👥 ÉQUIPES'!$B$9</f>
        <v>Équipe E</v>
      </c>
      <c r="C9" s="67" t="str">
        <f>'📊 TABLEAU DE BORD'!G11</f>
        <v>—</v>
      </c>
      <c r="D9" s="68" t="str">
        <f>'📊 TABLEAU DE BORD'!H11</f>
        <v>—</v>
      </c>
      <c r="E9" s="69" t="str">
        <f>IF('📊 TABLEAU DE BORD'!G11="—","⏳ Aucune donnée",IF('📊 TABLEAU DE BORD'!H11="A","✅ PAS DE FORMATION",IF('📊 TABLEAU DE BORD'!H11="B","📋 SUIVI MENSUEL",IF('📊 TABLEAU DE BORD'!H11="C","📚 FORMATION OBLIGATOIRE","🆘 REMISE À NIVEAU URGENTE"))))</f>
        <v>⏳ Aucune donnée</v>
      </c>
      <c r="F9" s="70" t="str">
        <f>IF('📊 TABLEAU DE BORD'!H11="—","—",IF('📊 TABLEAU DE BORD'!H11="A","Dans 6 mois",IF('📊 TABLEAU DE BORD'!H11="B","Dans 3 mois",IF('📊 TABLEAU DE BORD'!H11="C","Sous 30 jours","Sous 15 jours (URGENT)"))))</f>
        <v>—</v>
      </c>
      <c r="G9" s="35" t="str">
        <f>IF('📊 TABLEAU DE BORD'!G11="—","Aucune intervention enregistrée pour cette équipe.",IF('📊 TABLEAU DE BORD'!H11="A","🏆 "&amp;B9&amp;" excelle sur "&amp;'📊 TABLEAU DE BORD'!C11&amp;" intervention(s). Score moy "&amp;ROUND('📊 TABLEAU DE BORD'!G11,1)&amp;"/100. Maintenir le niveau, prévoir bilan semestriel.",IF('📊 TABLEAU DE BORD'!H11="B","✅ "&amp;B9&amp;" est opérationnelle sur "&amp;'📊 TABLEAU DE BORD'!C11&amp;" intervention(s). Score moy "&amp;ROUND('📊 TABLEAU DE BORD'!G11,1)&amp;"/100. Identifier les critères &lt; 4 dans l'onglet ⚠️ et planifier un coaching ciblé.",IF('📊 TABLEAU DE BORD'!H11="C","⚠️ "&amp;B9&amp;" nécessite un accompagnement sur "&amp;'📊 TABLEAU DE BORD'!C11&amp;" intervention(s). Score moy "&amp;ROUND('📊 TABLEAU DE BORD'!G11,1)&amp;"/100. Plan de formation 30 jours. Suivi hebdomadaire obligatoire. Revoir les critères rouges dans ⚠️ CRITÈRES FAIBLES.","🚨 "&amp;B9&amp;" : situation critique sur "&amp;'📊 TABLEAU DE BORD'!C11&amp;" intervention(s). Score moy "&amp;ROUND('📊 TABLEAU DE BORD'!G11,1)&amp;"/100. Remise à niveau immédiate. Accompagnement terrain quotidien. Réévaluation sous 15 jours. Voir critères ⚠️."))))</f>
        <v>Aucune intervention enregistrée pour cette équipe.</v>
      </c>
    </row>
    <row r="10" spans="1:8" ht="43.5" customHeight="1" x14ac:dyDescent="0.25">
      <c r="B10" s="71">
        <f>'👥 ÉQUIPES'!$B$10</f>
        <v>0</v>
      </c>
      <c r="C10" s="72" t="str">
        <f>'📊 TABLEAU DE BORD'!G12</f>
        <v>—</v>
      </c>
      <c r="D10" s="73" t="str">
        <f>'📊 TABLEAU DE BORD'!H12</f>
        <v>—</v>
      </c>
      <c r="E10" s="74" t="str">
        <f>IF('📊 TABLEAU DE BORD'!G12="—","⏳ Aucune donnée",IF('📊 TABLEAU DE BORD'!H12="A","✅ PAS DE FORMATION",IF('📊 TABLEAU DE BORD'!H12="B","📋 SUIVI MENSUEL",IF('📊 TABLEAU DE BORD'!H12="C","📚 FORMATION OBLIGATOIRE","🆘 REMISE À NIVEAU URGENTE"))))</f>
        <v>⏳ Aucune donnée</v>
      </c>
      <c r="F10" s="75" t="str">
        <f>IF('📊 TABLEAU DE BORD'!H12="—","—",IF('📊 TABLEAU DE BORD'!H12="A","Dans 6 mois",IF('📊 TABLEAU DE BORD'!H12="B","Dans 3 mois",IF('📊 TABLEAU DE BORD'!H12="C","Sous 30 jours","Sous 15 jours (URGENT)"))))</f>
        <v>—</v>
      </c>
      <c r="G10" s="47" t="str">
        <f>IF('📊 TABLEAU DE BORD'!G12="—","Aucune intervention enregistrée pour cette équipe.",IF('📊 TABLEAU DE BORD'!H12="A","🏆 "&amp;B10&amp;" excelle sur "&amp;'📊 TABLEAU DE BORD'!C12&amp;" intervention(s). Score moy "&amp;ROUND('📊 TABLEAU DE BORD'!G12,1)&amp;"/100. Maintenir le niveau, prévoir bilan semestriel.",IF('📊 TABLEAU DE BORD'!H12="B","✅ "&amp;B10&amp;" est opérationnelle sur "&amp;'📊 TABLEAU DE BORD'!C12&amp;" intervention(s). Score moy "&amp;ROUND('📊 TABLEAU DE BORD'!G12,1)&amp;"/100. Identifier les critères &lt; 4 dans l'onglet ⚠️ et planifier un coaching ciblé.",IF('📊 TABLEAU DE BORD'!H12="C","⚠️ "&amp;B10&amp;" nécessite un accompagnement sur "&amp;'📊 TABLEAU DE BORD'!C12&amp;" intervention(s). Score moy "&amp;ROUND('📊 TABLEAU DE BORD'!G12,1)&amp;"/100. Plan de formation 30 jours. Suivi hebdomadaire obligatoire. Revoir les critères rouges dans ⚠️ CRITÈRES FAIBLES.","🚨 "&amp;B10&amp;" : situation critique sur "&amp;'📊 TABLEAU DE BORD'!C12&amp;" intervention(s). Score moy "&amp;ROUND('📊 TABLEAU DE BORD'!G12,1)&amp;"/100. Remise à niveau immédiate. Accompagnement terrain quotidien. Réévaluation sous 15 jours. Voir critères ⚠️."))))</f>
        <v>Aucune intervention enregistrée pour cette équipe.</v>
      </c>
    </row>
    <row r="11" spans="1:8" ht="43.5" customHeight="1" x14ac:dyDescent="0.25">
      <c r="B11" s="66">
        <f>'👥 ÉQUIPES'!$B$11</f>
        <v>0</v>
      </c>
      <c r="C11" s="67" t="str">
        <f>'📊 TABLEAU DE BORD'!G13</f>
        <v>—</v>
      </c>
      <c r="D11" s="68" t="str">
        <f>'📊 TABLEAU DE BORD'!H13</f>
        <v>—</v>
      </c>
      <c r="E11" s="69" t="str">
        <f>IF('📊 TABLEAU DE BORD'!G13="—","⏳ Aucune donnée",IF('📊 TABLEAU DE BORD'!H13="A","✅ PAS DE FORMATION",IF('📊 TABLEAU DE BORD'!H13="B","📋 SUIVI MENSUEL",IF('📊 TABLEAU DE BORD'!H13="C","📚 FORMATION OBLIGATOIRE","🆘 REMISE À NIVEAU URGENTE"))))</f>
        <v>⏳ Aucune donnée</v>
      </c>
      <c r="F11" s="70" t="str">
        <f>IF('📊 TABLEAU DE BORD'!H13="—","—",IF('📊 TABLEAU DE BORD'!H13="A","Dans 6 mois",IF('📊 TABLEAU DE BORD'!H13="B","Dans 3 mois",IF('📊 TABLEAU DE BORD'!H13="C","Sous 30 jours","Sous 15 jours (URGENT)"))))</f>
        <v>—</v>
      </c>
      <c r="G11" s="35" t="str">
        <f>IF('📊 TABLEAU DE BORD'!G13="—","Aucune intervention enregistrée pour cette équipe.",IF('📊 TABLEAU DE BORD'!H13="A","🏆 "&amp;B11&amp;" excelle sur "&amp;'📊 TABLEAU DE BORD'!C13&amp;" intervention(s). Score moy "&amp;ROUND('📊 TABLEAU DE BORD'!G13,1)&amp;"/100. Maintenir le niveau, prévoir bilan semestriel.",IF('📊 TABLEAU DE BORD'!H13="B","✅ "&amp;B11&amp;" est opérationnelle sur "&amp;'📊 TABLEAU DE BORD'!C13&amp;" intervention(s). Score moy "&amp;ROUND('📊 TABLEAU DE BORD'!G13,1)&amp;"/100. Identifier les critères &lt; 4 dans l'onglet ⚠️ et planifier un coaching ciblé.",IF('📊 TABLEAU DE BORD'!H13="C","⚠️ "&amp;B11&amp;" nécessite un accompagnement sur "&amp;'📊 TABLEAU DE BORD'!C13&amp;" intervention(s). Score moy "&amp;ROUND('📊 TABLEAU DE BORD'!G13,1)&amp;"/100. Plan de formation 30 jours. Suivi hebdomadaire obligatoire. Revoir les critères rouges dans ⚠️ CRITÈRES FAIBLES.","🚨 "&amp;B11&amp;" : situation critique sur "&amp;'📊 TABLEAU DE BORD'!C13&amp;" intervention(s). Score moy "&amp;ROUND('📊 TABLEAU DE BORD'!G13,1)&amp;"/100. Remise à niveau immédiate. Accompagnement terrain quotidien. Réévaluation sous 15 jours. Voir critères ⚠️."))))</f>
        <v>Aucune intervention enregistrée pour cette équipe.</v>
      </c>
    </row>
    <row r="12" spans="1:8" ht="43.5" customHeight="1" x14ac:dyDescent="0.25">
      <c r="B12" s="71">
        <f>'👥 ÉQUIPES'!$B$12</f>
        <v>0</v>
      </c>
      <c r="C12" s="72" t="str">
        <f>'📊 TABLEAU DE BORD'!G14</f>
        <v>—</v>
      </c>
      <c r="D12" s="73" t="str">
        <f>'📊 TABLEAU DE BORD'!H14</f>
        <v>—</v>
      </c>
      <c r="E12" s="74" t="str">
        <f>IF('📊 TABLEAU DE BORD'!G14="—","⏳ Aucune donnée",IF('📊 TABLEAU DE BORD'!H14="A","✅ PAS DE FORMATION",IF('📊 TABLEAU DE BORD'!H14="B","📋 SUIVI MENSUEL",IF('📊 TABLEAU DE BORD'!H14="C","📚 FORMATION OBLIGATOIRE","🆘 REMISE À NIVEAU URGENTE"))))</f>
        <v>⏳ Aucune donnée</v>
      </c>
      <c r="F12" s="75" t="str">
        <f>IF('📊 TABLEAU DE BORD'!H14="—","—",IF('📊 TABLEAU DE BORD'!H14="A","Dans 6 mois",IF('📊 TABLEAU DE BORD'!H14="B","Dans 3 mois",IF('📊 TABLEAU DE BORD'!H14="C","Sous 30 jours","Sous 15 jours (URGENT)"))))</f>
        <v>—</v>
      </c>
      <c r="G12" s="47" t="str">
        <f>IF('📊 TABLEAU DE BORD'!G14="—","Aucune intervention enregistrée pour cette équipe.",IF('📊 TABLEAU DE BORD'!H14="A","🏆 "&amp;B12&amp;" excelle sur "&amp;'📊 TABLEAU DE BORD'!C14&amp;" intervention(s). Score moy "&amp;ROUND('📊 TABLEAU DE BORD'!G14,1)&amp;"/100. Maintenir le niveau, prévoir bilan semestriel.",IF('📊 TABLEAU DE BORD'!H14="B","✅ "&amp;B12&amp;" est opérationnelle sur "&amp;'📊 TABLEAU DE BORD'!C14&amp;" intervention(s). Score moy "&amp;ROUND('📊 TABLEAU DE BORD'!G14,1)&amp;"/100. Identifier les critères &lt; 4 dans l'onglet ⚠️ et planifier un coaching ciblé.",IF('📊 TABLEAU DE BORD'!H14="C","⚠️ "&amp;B12&amp;" nécessite un accompagnement sur "&amp;'📊 TABLEAU DE BORD'!C14&amp;" intervention(s). Score moy "&amp;ROUND('📊 TABLEAU DE BORD'!G14,1)&amp;"/100. Plan de formation 30 jours. Suivi hebdomadaire obligatoire. Revoir les critères rouges dans ⚠️ CRITÈRES FAIBLES.","🚨 "&amp;B12&amp;" : situation critique sur "&amp;'📊 TABLEAU DE BORD'!C14&amp;" intervention(s). Score moy "&amp;ROUND('📊 TABLEAU DE BORD'!G14,1)&amp;"/100. Remise à niveau immédiate. Accompagnement terrain quotidien. Réévaluation sous 15 jours. Voir critères ⚠️."))))</f>
        <v>Aucune intervention enregistrée pour cette équipe.</v>
      </c>
    </row>
    <row r="13" spans="1:8" ht="43.5" customHeight="1" x14ac:dyDescent="0.25">
      <c r="B13" s="66">
        <f>'👥 ÉQUIPES'!$B$13</f>
        <v>0</v>
      </c>
      <c r="C13" s="67" t="str">
        <f>'📊 TABLEAU DE BORD'!G15</f>
        <v>—</v>
      </c>
      <c r="D13" s="68" t="str">
        <f>'📊 TABLEAU DE BORD'!H15</f>
        <v>—</v>
      </c>
      <c r="E13" s="69" t="str">
        <f>IF('📊 TABLEAU DE BORD'!G15="—","⏳ Aucune donnée",IF('📊 TABLEAU DE BORD'!H15="A","✅ PAS DE FORMATION",IF('📊 TABLEAU DE BORD'!H15="B","📋 SUIVI MENSUEL",IF('📊 TABLEAU DE BORD'!H15="C","📚 FORMATION OBLIGATOIRE","🆘 REMISE À NIVEAU URGENTE"))))</f>
        <v>⏳ Aucune donnée</v>
      </c>
      <c r="F13" s="70" t="str">
        <f>IF('📊 TABLEAU DE BORD'!H15="—","—",IF('📊 TABLEAU DE BORD'!H15="A","Dans 6 mois",IF('📊 TABLEAU DE BORD'!H15="B","Dans 3 mois",IF('📊 TABLEAU DE BORD'!H15="C","Sous 30 jours","Sous 15 jours (URGENT)"))))</f>
        <v>—</v>
      </c>
      <c r="G13" s="35" t="str">
        <f>IF('📊 TABLEAU DE BORD'!G15="—","Aucune intervention enregistrée pour cette équipe.",IF('📊 TABLEAU DE BORD'!H15="A","🏆 "&amp;B13&amp;" excelle sur "&amp;'📊 TABLEAU DE BORD'!C15&amp;" intervention(s). Score moy "&amp;ROUND('📊 TABLEAU DE BORD'!G15,1)&amp;"/100. Maintenir le niveau, prévoir bilan semestriel.",IF('📊 TABLEAU DE BORD'!H15="B","✅ "&amp;B13&amp;" est opérationnelle sur "&amp;'📊 TABLEAU DE BORD'!C15&amp;" intervention(s). Score moy "&amp;ROUND('📊 TABLEAU DE BORD'!G15,1)&amp;"/100. Identifier les critères &lt; 4 dans l'onglet ⚠️ et planifier un coaching ciblé.",IF('📊 TABLEAU DE BORD'!H15="C","⚠️ "&amp;B13&amp;" nécessite un accompagnement sur "&amp;'📊 TABLEAU DE BORD'!C15&amp;" intervention(s). Score moy "&amp;ROUND('📊 TABLEAU DE BORD'!G15,1)&amp;"/100. Plan de formation 30 jours. Suivi hebdomadaire obligatoire. Revoir les critères rouges dans ⚠️ CRITÈRES FAIBLES.","🚨 "&amp;B13&amp;" : situation critique sur "&amp;'📊 TABLEAU DE BORD'!C15&amp;" intervention(s). Score moy "&amp;ROUND('📊 TABLEAU DE BORD'!G15,1)&amp;"/100. Remise à niveau immédiate. Accompagnement terrain quotidien. Réévaluation sous 15 jours. Voir critères ⚠️."))))</f>
        <v>Aucune intervention enregistrée pour cette équipe.</v>
      </c>
    </row>
    <row r="14" spans="1:8" ht="43.5" customHeight="1" x14ac:dyDescent="0.25">
      <c r="B14" s="71">
        <f>'👥 ÉQUIPES'!$B$14</f>
        <v>0</v>
      </c>
      <c r="C14" s="72" t="str">
        <f>'📊 TABLEAU DE BORD'!G16</f>
        <v>—</v>
      </c>
      <c r="D14" s="73" t="str">
        <f>'📊 TABLEAU DE BORD'!H16</f>
        <v>—</v>
      </c>
      <c r="E14" s="74" t="str">
        <f>IF('📊 TABLEAU DE BORD'!G16="—","⏳ Aucune donnée",IF('📊 TABLEAU DE BORD'!H16="A","✅ PAS DE FORMATION",IF('📊 TABLEAU DE BORD'!H16="B","📋 SUIVI MENSUEL",IF('📊 TABLEAU DE BORD'!H16="C","📚 FORMATION OBLIGATOIRE","🆘 REMISE À NIVEAU URGENTE"))))</f>
        <v>⏳ Aucune donnée</v>
      </c>
      <c r="F14" s="75" t="str">
        <f>IF('📊 TABLEAU DE BORD'!H16="—","—",IF('📊 TABLEAU DE BORD'!H16="A","Dans 6 mois",IF('📊 TABLEAU DE BORD'!H16="B","Dans 3 mois",IF('📊 TABLEAU DE BORD'!H16="C","Sous 30 jours","Sous 15 jours (URGENT)"))))</f>
        <v>—</v>
      </c>
      <c r="G14" s="47" t="str">
        <f>IF('📊 TABLEAU DE BORD'!G16="—","Aucune intervention enregistrée pour cette équipe.",IF('📊 TABLEAU DE BORD'!H16="A","🏆 "&amp;B14&amp;" excelle sur "&amp;'📊 TABLEAU DE BORD'!C16&amp;" intervention(s). Score moy "&amp;ROUND('📊 TABLEAU DE BORD'!G16,1)&amp;"/100. Maintenir le niveau, prévoir bilan semestriel.",IF('📊 TABLEAU DE BORD'!H16="B","✅ "&amp;B14&amp;" est opérationnelle sur "&amp;'📊 TABLEAU DE BORD'!C16&amp;" intervention(s). Score moy "&amp;ROUND('📊 TABLEAU DE BORD'!G16,1)&amp;"/100. Identifier les critères &lt; 4 dans l'onglet ⚠️ et planifier un coaching ciblé.",IF('📊 TABLEAU DE BORD'!H16="C","⚠️ "&amp;B14&amp;" nécessite un accompagnement sur "&amp;'📊 TABLEAU DE BORD'!C16&amp;" intervention(s). Score moy "&amp;ROUND('📊 TABLEAU DE BORD'!G16,1)&amp;"/100. Plan de formation 30 jours. Suivi hebdomadaire obligatoire. Revoir les critères rouges dans ⚠️ CRITÈRES FAIBLES.","🚨 "&amp;B14&amp;" : situation critique sur "&amp;'📊 TABLEAU DE BORD'!C16&amp;" intervention(s). Score moy "&amp;ROUND('📊 TABLEAU DE BORD'!G16,1)&amp;"/100. Remise à niveau immédiate. Accompagnement terrain quotidien. Réévaluation sous 15 jours. Voir critères ⚠️."))))</f>
        <v>Aucune intervention enregistrée pour cette équipe.</v>
      </c>
    </row>
    <row r="15" spans="1:8" ht="43.5" customHeight="1" x14ac:dyDescent="0.25">
      <c r="B15" s="66">
        <f>'👥 ÉQUIPES'!$B$15</f>
        <v>0</v>
      </c>
      <c r="C15" s="67" t="str">
        <f>'📊 TABLEAU DE BORD'!G17</f>
        <v>—</v>
      </c>
      <c r="D15" s="68" t="str">
        <f>'📊 TABLEAU DE BORD'!H17</f>
        <v>—</v>
      </c>
      <c r="E15" s="69" t="str">
        <f>IF('📊 TABLEAU DE BORD'!G17="—","⏳ Aucune donnée",IF('📊 TABLEAU DE BORD'!H17="A","✅ PAS DE FORMATION",IF('📊 TABLEAU DE BORD'!H17="B","📋 SUIVI MENSUEL",IF('📊 TABLEAU DE BORD'!H17="C","📚 FORMATION OBLIGATOIRE","🆘 REMISE À NIVEAU URGENTE"))))</f>
        <v>⏳ Aucune donnée</v>
      </c>
      <c r="F15" s="70" t="str">
        <f>IF('📊 TABLEAU DE BORD'!H17="—","—",IF('📊 TABLEAU DE BORD'!H17="A","Dans 6 mois",IF('📊 TABLEAU DE BORD'!H17="B","Dans 3 mois",IF('📊 TABLEAU DE BORD'!H17="C","Sous 30 jours","Sous 15 jours (URGENT)"))))</f>
        <v>—</v>
      </c>
      <c r="G15" s="35" t="str">
        <f>IF('📊 TABLEAU DE BORD'!G17="—","Aucune intervention enregistrée pour cette équipe.",IF('📊 TABLEAU DE BORD'!H17="A","🏆 "&amp;B15&amp;" excelle sur "&amp;'📊 TABLEAU DE BORD'!C17&amp;" intervention(s). Score moy "&amp;ROUND('📊 TABLEAU DE BORD'!G17,1)&amp;"/100. Maintenir le niveau, prévoir bilan semestriel.",IF('📊 TABLEAU DE BORD'!H17="B","✅ "&amp;B15&amp;" est opérationnelle sur "&amp;'📊 TABLEAU DE BORD'!C17&amp;" intervention(s). Score moy "&amp;ROUND('📊 TABLEAU DE BORD'!G17,1)&amp;"/100. Identifier les critères &lt; 4 dans l'onglet ⚠️ et planifier un coaching ciblé.",IF('📊 TABLEAU DE BORD'!H17="C","⚠️ "&amp;B15&amp;" nécessite un accompagnement sur "&amp;'📊 TABLEAU DE BORD'!C17&amp;" intervention(s). Score moy "&amp;ROUND('📊 TABLEAU DE BORD'!G17,1)&amp;"/100. Plan de formation 30 jours. Suivi hebdomadaire obligatoire. Revoir les critères rouges dans ⚠️ CRITÈRES FAIBLES.","🚨 "&amp;B15&amp;" : situation critique sur "&amp;'📊 TABLEAU DE BORD'!C17&amp;" intervention(s). Score moy "&amp;ROUND('📊 TABLEAU DE BORD'!G17,1)&amp;"/100. Remise à niveau immédiate. Accompagnement terrain quotidien. Réévaluation sous 15 jours. Voir critères ⚠️."))))</f>
        <v>Aucune intervention enregistrée pour cette équipe.</v>
      </c>
    </row>
    <row r="16" spans="1:8" ht="43.5" customHeight="1" x14ac:dyDescent="0.25">
      <c r="B16" s="71">
        <f>'👥 ÉQUIPES'!$B$16</f>
        <v>0</v>
      </c>
      <c r="C16" s="72" t="str">
        <f>'📊 TABLEAU DE BORD'!G18</f>
        <v>—</v>
      </c>
      <c r="D16" s="73" t="str">
        <f>'📊 TABLEAU DE BORD'!H18</f>
        <v>—</v>
      </c>
      <c r="E16" s="74" t="str">
        <f>IF('📊 TABLEAU DE BORD'!G18="—","⏳ Aucune donnée",IF('📊 TABLEAU DE BORD'!H18="A","✅ PAS DE FORMATION",IF('📊 TABLEAU DE BORD'!H18="B","📋 SUIVI MENSUEL",IF('📊 TABLEAU DE BORD'!H18="C","📚 FORMATION OBLIGATOIRE","🆘 REMISE À NIVEAU URGENTE"))))</f>
        <v>⏳ Aucune donnée</v>
      </c>
      <c r="F16" s="75" t="str">
        <f>IF('📊 TABLEAU DE BORD'!H18="—","—",IF('📊 TABLEAU DE BORD'!H18="A","Dans 6 mois",IF('📊 TABLEAU DE BORD'!H18="B","Dans 3 mois",IF('📊 TABLEAU DE BORD'!H18="C","Sous 30 jours","Sous 15 jours (URGENT)"))))</f>
        <v>—</v>
      </c>
      <c r="G16" s="47" t="str">
        <f>IF('📊 TABLEAU DE BORD'!G18="—","Aucune intervention enregistrée pour cette équipe.",IF('📊 TABLEAU DE BORD'!H18="A","🏆 "&amp;B16&amp;" excelle sur "&amp;'📊 TABLEAU DE BORD'!C18&amp;" intervention(s). Score moy "&amp;ROUND('📊 TABLEAU DE BORD'!G18,1)&amp;"/100. Maintenir le niveau, prévoir bilan semestriel.",IF('📊 TABLEAU DE BORD'!H18="B","✅ "&amp;B16&amp;" est opérationnelle sur "&amp;'📊 TABLEAU DE BORD'!C18&amp;" intervention(s). Score moy "&amp;ROUND('📊 TABLEAU DE BORD'!G18,1)&amp;"/100. Identifier les critères &lt; 4 dans l'onglet ⚠️ et planifier un coaching ciblé.",IF('📊 TABLEAU DE BORD'!H18="C","⚠️ "&amp;B16&amp;" nécessite un accompagnement sur "&amp;'📊 TABLEAU DE BORD'!C18&amp;" intervention(s). Score moy "&amp;ROUND('📊 TABLEAU DE BORD'!G18,1)&amp;"/100. Plan de formation 30 jours. Suivi hebdomadaire obligatoire. Revoir les critères rouges dans ⚠️ CRITÈRES FAIBLES.","🚨 "&amp;B16&amp;" : situation critique sur "&amp;'📊 TABLEAU DE BORD'!C18&amp;" intervention(s). Score moy "&amp;ROUND('📊 TABLEAU DE BORD'!G18,1)&amp;"/100. Remise à niveau immédiate. Accompagnement terrain quotidien. Réévaluation sous 15 jours. Voir critères ⚠️."))))</f>
        <v>Aucune intervention enregistrée pour cette équipe.</v>
      </c>
    </row>
    <row r="17" spans="2:7" ht="43.5" customHeight="1" x14ac:dyDescent="0.25">
      <c r="B17" s="66">
        <f>'👥 ÉQUIPES'!$B$17</f>
        <v>0</v>
      </c>
      <c r="C17" s="67" t="str">
        <f>'📊 TABLEAU DE BORD'!G19</f>
        <v>—</v>
      </c>
      <c r="D17" s="68" t="str">
        <f>'📊 TABLEAU DE BORD'!H19</f>
        <v>—</v>
      </c>
      <c r="E17" s="69" t="str">
        <f>IF('📊 TABLEAU DE BORD'!G19="—","⏳ Aucune donnée",IF('📊 TABLEAU DE BORD'!H19="A","✅ PAS DE FORMATION",IF('📊 TABLEAU DE BORD'!H19="B","📋 SUIVI MENSUEL",IF('📊 TABLEAU DE BORD'!H19="C","📚 FORMATION OBLIGATOIRE","🆘 REMISE À NIVEAU URGENTE"))))</f>
        <v>⏳ Aucune donnée</v>
      </c>
      <c r="F17" s="70" t="str">
        <f>IF('📊 TABLEAU DE BORD'!H19="—","—",IF('📊 TABLEAU DE BORD'!H19="A","Dans 6 mois",IF('📊 TABLEAU DE BORD'!H19="B","Dans 3 mois",IF('📊 TABLEAU DE BORD'!H19="C","Sous 30 jours","Sous 15 jours (URGENT)"))))</f>
        <v>—</v>
      </c>
      <c r="G17" s="35" t="str">
        <f>IF('📊 TABLEAU DE BORD'!G19="—","Aucune intervention enregistrée pour cette équipe.",IF('📊 TABLEAU DE BORD'!H19="A","🏆 "&amp;B17&amp;" excelle sur "&amp;'📊 TABLEAU DE BORD'!C19&amp;" intervention(s). Score moy "&amp;ROUND('📊 TABLEAU DE BORD'!G19,1)&amp;"/100. Maintenir le niveau, prévoir bilan semestriel.",IF('📊 TABLEAU DE BORD'!H19="B","✅ "&amp;B17&amp;" est opérationnelle sur "&amp;'📊 TABLEAU DE BORD'!C19&amp;" intervention(s). Score moy "&amp;ROUND('📊 TABLEAU DE BORD'!G19,1)&amp;"/100. Identifier les critères &lt; 4 dans l'onglet ⚠️ et planifier un coaching ciblé.",IF('📊 TABLEAU DE BORD'!H19="C","⚠️ "&amp;B17&amp;" nécessite un accompagnement sur "&amp;'📊 TABLEAU DE BORD'!C19&amp;" intervention(s). Score moy "&amp;ROUND('📊 TABLEAU DE BORD'!G19,1)&amp;"/100. Plan de formation 30 jours. Suivi hebdomadaire obligatoire. Revoir les critères rouges dans ⚠️ CRITÈRES FAIBLES.","🚨 "&amp;B17&amp;" : situation critique sur "&amp;'📊 TABLEAU DE BORD'!C19&amp;" intervention(s). Score moy "&amp;ROUND('📊 TABLEAU DE BORD'!G19,1)&amp;"/100. Remise à niveau immédiate. Accompagnement terrain quotidien. Réévaluation sous 15 jours. Voir critères ⚠️."))))</f>
        <v>Aucune intervention enregistrée pour cette équipe.</v>
      </c>
    </row>
    <row r="18" spans="2:7" ht="43.5" customHeight="1" x14ac:dyDescent="0.25">
      <c r="B18" s="71">
        <f>'👥 ÉQUIPES'!$B$18</f>
        <v>0</v>
      </c>
      <c r="C18" s="72" t="str">
        <f>'📊 TABLEAU DE BORD'!G20</f>
        <v>—</v>
      </c>
      <c r="D18" s="73" t="str">
        <f>'📊 TABLEAU DE BORD'!H20</f>
        <v>—</v>
      </c>
      <c r="E18" s="74" t="str">
        <f>IF('📊 TABLEAU DE BORD'!G20="—","⏳ Aucune donnée",IF('📊 TABLEAU DE BORD'!H20="A","✅ PAS DE FORMATION",IF('📊 TABLEAU DE BORD'!H20="B","📋 SUIVI MENSUEL",IF('📊 TABLEAU DE BORD'!H20="C","📚 FORMATION OBLIGATOIRE","🆘 REMISE À NIVEAU URGENTE"))))</f>
        <v>⏳ Aucune donnée</v>
      </c>
      <c r="F18" s="75" t="str">
        <f>IF('📊 TABLEAU DE BORD'!H20="—","—",IF('📊 TABLEAU DE BORD'!H20="A","Dans 6 mois",IF('📊 TABLEAU DE BORD'!H20="B","Dans 3 mois",IF('📊 TABLEAU DE BORD'!H20="C","Sous 30 jours","Sous 15 jours (URGENT)"))))</f>
        <v>—</v>
      </c>
      <c r="G18" s="47" t="str">
        <f>IF('📊 TABLEAU DE BORD'!G20="—","Aucune intervention enregistrée pour cette équipe.",IF('📊 TABLEAU DE BORD'!H20="A","🏆 "&amp;B18&amp;" excelle sur "&amp;'📊 TABLEAU DE BORD'!C20&amp;" intervention(s). Score moy "&amp;ROUND('📊 TABLEAU DE BORD'!G20,1)&amp;"/100. Maintenir le niveau, prévoir bilan semestriel.",IF('📊 TABLEAU DE BORD'!H20="B","✅ "&amp;B18&amp;" est opérationnelle sur "&amp;'📊 TABLEAU DE BORD'!C20&amp;" intervention(s). Score moy "&amp;ROUND('📊 TABLEAU DE BORD'!G20,1)&amp;"/100. Identifier les critères &lt; 4 dans l'onglet ⚠️ et planifier un coaching ciblé.",IF('📊 TABLEAU DE BORD'!H20="C","⚠️ "&amp;B18&amp;" nécessite un accompagnement sur "&amp;'📊 TABLEAU DE BORD'!C20&amp;" intervention(s). Score moy "&amp;ROUND('📊 TABLEAU DE BORD'!G20,1)&amp;"/100. Plan de formation 30 jours. Suivi hebdomadaire obligatoire. Revoir les critères rouges dans ⚠️ CRITÈRES FAIBLES.","🚨 "&amp;B18&amp;" : situation critique sur "&amp;'📊 TABLEAU DE BORD'!C20&amp;" intervention(s). Score moy "&amp;ROUND('📊 TABLEAU DE BORD'!G20,1)&amp;"/100. Remise à niveau immédiate. Accompagnement terrain quotidien. Réévaluation sous 15 jours. Voir critères ⚠️."))))</f>
        <v>Aucune intervention enregistrée pour cette équipe.</v>
      </c>
    </row>
    <row r="19" spans="2:7" ht="43.5" customHeight="1" x14ac:dyDescent="0.25">
      <c r="B19" s="66">
        <f>'👥 ÉQUIPES'!$B$19</f>
        <v>0</v>
      </c>
      <c r="C19" s="67" t="str">
        <f>'📊 TABLEAU DE BORD'!G21</f>
        <v>—</v>
      </c>
      <c r="D19" s="68" t="str">
        <f>'📊 TABLEAU DE BORD'!H21</f>
        <v>—</v>
      </c>
      <c r="E19" s="69" t="str">
        <f>IF('📊 TABLEAU DE BORD'!G21="—","⏳ Aucune donnée",IF('📊 TABLEAU DE BORD'!H21="A","✅ PAS DE FORMATION",IF('📊 TABLEAU DE BORD'!H21="B","📋 SUIVI MENSUEL",IF('📊 TABLEAU DE BORD'!H21="C","📚 FORMATION OBLIGATOIRE","🆘 REMISE À NIVEAU URGENTE"))))</f>
        <v>⏳ Aucune donnée</v>
      </c>
      <c r="F19" s="70" t="str">
        <f>IF('📊 TABLEAU DE BORD'!H21="—","—",IF('📊 TABLEAU DE BORD'!H21="A","Dans 6 mois",IF('📊 TABLEAU DE BORD'!H21="B","Dans 3 mois",IF('📊 TABLEAU DE BORD'!H21="C","Sous 30 jours","Sous 15 jours (URGENT)"))))</f>
        <v>—</v>
      </c>
      <c r="G19" s="35" t="str">
        <f>IF('📊 TABLEAU DE BORD'!G21="—","Aucune intervention enregistrée pour cette équipe.",IF('📊 TABLEAU DE BORD'!H21="A","🏆 "&amp;B19&amp;" excelle sur "&amp;'📊 TABLEAU DE BORD'!C21&amp;" intervention(s). Score moy "&amp;ROUND('📊 TABLEAU DE BORD'!G21,1)&amp;"/100. Maintenir le niveau, prévoir bilan semestriel.",IF('📊 TABLEAU DE BORD'!H21="B","✅ "&amp;B19&amp;" est opérationnelle sur "&amp;'📊 TABLEAU DE BORD'!C21&amp;" intervention(s). Score moy "&amp;ROUND('📊 TABLEAU DE BORD'!G21,1)&amp;"/100. Identifier les critères &lt; 4 dans l'onglet ⚠️ et planifier un coaching ciblé.",IF('📊 TABLEAU DE BORD'!H21="C","⚠️ "&amp;B19&amp;" nécessite un accompagnement sur "&amp;'📊 TABLEAU DE BORD'!C21&amp;" intervention(s). Score moy "&amp;ROUND('📊 TABLEAU DE BORD'!G21,1)&amp;"/100. Plan de formation 30 jours. Suivi hebdomadaire obligatoire. Revoir les critères rouges dans ⚠️ CRITÈRES FAIBLES.","🚨 "&amp;B19&amp;" : situation critique sur "&amp;'📊 TABLEAU DE BORD'!C21&amp;" intervention(s). Score moy "&amp;ROUND('📊 TABLEAU DE BORD'!G21,1)&amp;"/100. Remise à niveau immédiate. Accompagnement terrain quotidien. Réévaluation sous 15 jours. Voir critères ⚠️."))))</f>
        <v>Aucune intervention enregistrée pour cette équipe.</v>
      </c>
    </row>
    <row r="20" spans="2:7" ht="43.5" customHeight="1" x14ac:dyDescent="0.25">
      <c r="B20" s="71">
        <f>'👥 ÉQUIPES'!$B$20</f>
        <v>0</v>
      </c>
      <c r="C20" s="72" t="str">
        <f>'📊 TABLEAU DE BORD'!G22</f>
        <v>—</v>
      </c>
      <c r="D20" s="73" t="str">
        <f>'📊 TABLEAU DE BORD'!H22</f>
        <v>—</v>
      </c>
      <c r="E20" s="74" t="str">
        <f>IF('📊 TABLEAU DE BORD'!G22="—","⏳ Aucune donnée",IF('📊 TABLEAU DE BORD'!H22="A","✅ PAS DE FORMATION",IF('📊 TABLEAU DE BORD'!H22="B","📋 SUIVI MENSUEL",IF('📊 TABLEAU DE BORD'!H22="C","📚 FORMATION OBLIGATOIRE","🆘 REMISE À NIVEAU URGENTE"))))</f>
        <v>⏳ Aucune donnée</v>
      </c>
      <c r="F20" s="75" t="str">
        <f>IF('📊 TABLEAU DE BORD'!H22="—","—",IF('📊 TABLEAU DE BORD'!H22="A","Dans 6 mois",IF('📊 TABLEAU DE BORD'!H22="B","Dans 3 mois",IF('📊 TABLEAU DE BORD'!H22="C","Sous 30 jours","Sous 15 jours (URGENT)"))))</f>
        <v>—</v>
      </c>
      <c r="G20" s="47" t="str">
        <f>IF('📊 TABLEAU DE BORD'!G22="—","Aucune intervention enregistrée pour cette équipe.",IF('📊 TABLEAU DE BORD'!H22="A","🏆 "&amp;B20&amp;" excelle sur "&amp;'📊 TABLEAU DE BORD'!C22&amp;" intervention(s). Score moy "&amp;ROUND('📊 TABLEAU DE BORD'!G22,1)&amp;"/100. Maintenir le niveau, prévoir bilan semestriel.",IF('📊 TABLEAU DE BORD'!H22="B","✅ "&amp;B20&amp;" est opérationnelle sur "&amp;'📊 TABLEAU DE BORD'!C22&amp;" intervention(s). Score moy "&amp;ROUND('📊 TABLEAU DE BORD'!G22,1)&amp;"/100. Identifier les critères &lt; 4 dans l'onglet ⚠️ et planifier un coaching ciblé.",IF('📊 TABLEAU DE BORD'!H22="C","⚠️ "&amp;B20&amp;" nécessite un accompagnement sur "&amp;'📊 TABLEAU DE BORD'!C22&amp;" intervention(s). Score moy "&amp;ROUND('📊 TABLEAU DE BORD'!G22,1)&amp;"/100. Plan de formation 30 jours. Suivi hebdomadaire obligatoire. Revoir les critères rouges dans ⚠️ CRITÈRES FAIBLES.","🚨 "&amp;B20&amp;" : situation critique sur "&amp;'📊 TABLEAU DE BORD'!C22&amp;" intervention(s). Score moy "&amp;ROUND('📊 TABLEAU DE BORD'!G22,1)&amp;"/100. Remise à niveau immédiate. Accompagnement terrain quotidien. Réévaluation sous 15 jours. Voir critères ⚠️."))))</f>
        <v>Aucune intervention enregistrée pour cette équipe.</v>
      </c>
    </row>
    <row r="21" spans="2:7" ht="43.5" customHeight="1" x14ac:dyDescent="0.25">
      <c r="B21" s="66">
        <f>'👥 ÉQUIPES'!$B$21</f>
        <v>0</v>
      </c>
      <c r="C21" s="67" t="str">
        <f>'📊 TABLEAU DE BORD'!G23</f>
        <v>—</v>
      </c>
      <c r="D21" s="68" t="str">
        <f>'📊 TABLEAU DE BORD'!H23</f>
        <v>—</v>
      </c>
      <c r="E21" s="69" t="str">
        <f>IF('📊 TABLEAU DE BORD'!G23="—","⏳ Aucune donnée",IF('📊 TABLEAU DE BORD'!H23="A","✅ PAS DE FORMATION",IF('📊 TABLEAU DE BORD'!H23="B","📋 SUIVI MENSUEL",IF('📊 TABLEAU DE BORD'!H23="C","📚 FORMATION OBLIGATOIRE","🆘 REMISE À NIVEAU URGENTE"))))</f>
        <v>⏳ Aucune donnée</v>
      </c>
      <c r="F21" s="70" t="str">
        <f>IF('📊 TABLEAU DE BORD'!H23="—","—",IF('📊 TABLEAU DE BORD'!H23="A","Dans 6 mois",IF('📊 TABLEAU DE BORD'!H23="B","Dans 3 mois",IF('📊 TABLEAU DE BORD'!H23="C","Sous 30 jours","Sous 15 jours (URGENT)"))))</f>
        <v>—</v>
      </c>
      <c r="G21" s="35" t="str">
        <f>IF('📊 TABLEAU DE BORD'!G23="—","Aucune intervention enregistrée pour cette équipe.",IF('📊 TABLEAU DE BORD'!H23="A","🏆 "&amp;B21&amp;" excelle sur "&amp;'📊 TABLEAU DE BORD'!C23&amp;" intervention(s). Score moy "&amp;ROUND('📊 TABLEAU DE BORD'!G23,1)&amp;"/100. Maintenir le niveau, prévoir bilan semestriel.",IF('📊 TABLEAU DE BORD'!H23="B","✅ "&amp;B21&amp;" est opérationnelle sur "&amp;'📊 TABLEAU DE BORD'!C23&amp;" intervention(s). Score moy "&amp;ROUND('📊 TABLEAU DE BORD'!G23,1)&amp;"/100. Identifier les critères &lt; 4 dans l'onglet ⚠️ et planifier un coaching ciblé.",IF('📊 TABLEAU DE BORD'!H23="C","⚠️ "&amp;B21&amp;" nécessite un accompagnement sur "&amp;'📊 TABLEAU DE BORD'!C23&amp;" intervention(s). Score moy "&amp;ROUND('📊 TABLEAU DE BORD'!G23,1)&amp;"/100. Plan de formation 30 jours. Suivi hebdomadaire obligatoire. Revoir les critères rouges dans ⚠️ CRITÈRES FAIBLES.","🚨 "&amp;B21&amp;" : situation critique sur "&amp;'📊 TABLEAU DE BORD'!C23&amp;" intervention(s). Score moy "&amp;ROUND('📊 TABLEAU DE BORD'!G23,1)&amp;"/100. Remise à niveau immédiate. Accompagnement terrain quotidien. Réévaluation sous 15 jours. Voir critères ⚠️."))))</f>
        <v>Aucune intervention enregistrée pour cette équipe.</v>
      </c>
    </row>
    <row r="22" spans="2:7" ht="43.5" customHeight="1" x14ac:dyDescent="0.25">
      <c r="B22" s="71">
        <f>'👥 ÉQUIPES'!$B$22</f>
        <v>0</v>
      </c>
      <c r="C22" s="72" t="str">
        <f>'📊 TABLEAU DE BORD'!G24</f>
        <v>—</v>
      </c>
      <c r="D22" s="73" t="str">
        <f>'📊 TABLEAU DE BORD'!H24</f>
        <v>—</v>
      </c>
      <c r="E22" s="74" t="str">
        <f>IF('📊 TABLEAU DE BORD'!G24="—","⏳ Aucune donnée",IF('📊 TABLEAU DE BORD'!H24="A","✅ PAS DE FORMATION",IF('📊 TABLEAU DE BORD'!H24="B","📋 SUIVI MENSUEL",IF('📊 TABLEAU DE BORD'!H24="C","📚 FORMATION OBLIGATOIRE","🆘 REMISE À NIVEAU URGENTE"))))</f>
        <v>⏳ Aucune donnée</v>
      </c>
      <c r="F22" s="75" t="str">
        <f>IF('📊 TABLEAU DE BORD'!H24="—","—",IF('📊 TABLEAU DE BORD'!H24="A","Dans 6 mois",IF('📊 TABLEAU DE BORD'!H24="B","Dans 3 mois",IF('📊 TABLEAU DE BORD'!H24="C","Sous 30 jours","Sous 15 jours (URGENT)"))))</f>
        <v>—</v>
      </c>
      <c r="G22" s="47" t="str">
        <f>IF('📊 TABLEAU DE BORD'!G24="—","Aucune intervention enregistrée pour cette équipe.",IF('📊 TABLEAU DE BORD'!H24="A","🏆 "&amp;B22&amp;" excelle sur "&amp;'📊 TABLEAU DE BORD'!C24&amp;" intervention(s). Score moy "&amp;ROUND('📊 TABLEAU DE BORD'!G24,1)&amp;"/100. Maintenir le niveau, prévoir bilan semestriel.",IF('📊 TABLEAU DE BORD'!H24="B","✅ "&amp;B22&amp;" est opérationnelle sur "&amp;'📊 TABLEAU DE BORD'!C24&amp;" intervention(s). Score moy "&amp;ROUND('📊 TABLEAU DE BORD'!G24,1)&amp;"/100. Identifier les critères &lt; 4 dans l'onglet ⚠️ et planifier un coaching ciblé.",IF('📊 TABLEAU DE BORD'!H24="C","⚠️ "&amp;B22&amp;" nécessite un accompagnement sur "&amp;'📊 TABLEAU DE BORD'!C24&amp;" intervention(s). Score moy "&amp;ROUND('📊 TABLEAU DE BORD'!G24,1)&amp;"/100. Plan de formation 30 jours. Suivi hebdomadaire obligatoire. Revoir les critères rouges dans ⚠️ CRITÈRES FAIBLES.","🚨 "&amp;B22&amp;" : situation critique sur "&amp;'📊 TABLEAU DE BORD'!C24&amp;" intervention(s). Score moy "&amp;ROUND('📊 TABLEAU DE BORD'!G24,1)&amp;"/100. Remise à niveau immédiate. Accompagnement terrain quotidien. Réévaluation sous 15 jours. Voir critères ⚠️."))))</f>
        <v>Aucune intervention enregistrée pour cette équipe.</v>
      </c>
    </row>
    <row r="23" spans="2:7" ht="43.5" customHeight="1" x14ac:dyDescent="0.25">
      <c r="B23" s="66">
        <f>'👥 ÉQUIPES'!$B$23</f>
        <v>0</v>
      </c>
      <c r="C23" s="67" t="str">
        <f>'📊 TABLEAU DE BORD'!G25</f>
        <v>—</v>
      </c>
      <c r="D23" s="68" t="str">
        <f>'📊 TABLEAU DE BORD'!H25</f>
        <v>—</v>
      </c>
      <c r="E23" s="69" t="str">
        <f>IF('📊 TABLEAU DE BORD'!G25="—","⏳ Aucune donnée",IF('📊 TABLEAU DE BORD'!H25="A","✅ PAS DE FORMATION",IF('📊 TABLEAU DE BORD'!H25="B","📋 SUIVI MENSUEL",IF('📊 TABLEAU DE BORD'!H25="C","📚 FORMATION OBLIGATOIRE","🆘 REMISE À NIVEAU URGENTE"))))</f>
        <v>⏳ Aucune donnée</v>
      </c>
      <c r="F23" s="70" t="str">
        <f>IF('📊 TABLEAU DE BORD'!H25="—","—",IF('📊 TABLEAU DE BORD'!H25="A","Dans 6 mois",IF('📊 TABLEAU DE BORD'!H25="B","Dans 3 mois",IF('📊 TABLEAU DE BORD'!H25="C","Sous 30 jours","Sous 15 jours (URGENT)"))))</f>
        <v>—</v>
      </c>
      <c r="G23" s="35" t="str">
        <f>IF('📊 TABLEAU DE BORD'!G25="—","Aucune intervention enregistrée pour cette équipe.",IF('📊 TABLEAU DE BORD'!H25="A","🏆 "&amp;B23&amp;" excelle sur "&amp;'📊 TABLEAU DE BORD'!C25&amp;" intervention(s). Score moy "&amp;ROUND('📊 TABLEAU DE BORD'!G25,1)&amp;"/100. Maintenir le niveau, prévoir bilan semestriel.",IF('📊 TABLEAU DE BORD'!H25="B","✅ "&amp;B23&amp;" est opérationnelle sur "&amp;'📊 TABLEAU DE BORD'!C25&amp;" intervention(s). Score moy "&amp;ROUND('📊 TABLEAU DE BORD'!G25,1)&amp;"/100. Identifier les critères &lt; 4 dans l'onglet ⚠️ et planifier un coaching ciblé.",IF('📊 TABLEAU DE BORD'!H25="C","⚠️ "&amp;B23&amp;" nécessite un accompagnement sur "&amp;'📊 TABLEAU DE BORD'!C25&amp;" intervention(s). Score moy "&amp;ROUND('📊 TABLEAU DE BORD'!G25,1)&amp;"/100. Plan de formation 30 jours. Suivi hebdomadaire obligatoire. Revoir les critères rouges dans ⚠️ CRITÈRES FAIBLES.","🚨 "&amp;B23&amp;" : situation critique sur "&amp;'📊 TABLEAU DE BORD'!C25&amp;" intervention(s). Score moy "&amp;ROUND('📊 TABLEAU DE BORD'!G25,1)&amp;"/100. Remise à niveau immédiate. Accompagnement terrain quotidien. Réévaluation sous 15 jours. Voir critères ⚠️."))))</f>
        <v>Aucune intervention enregistrée pour cette équipe.</v>
      </c>
    </row>
    <row r="24" spans="2:7" ht="43.5" customHeight="1" x14ac:dyDescent="0.25">
      <c r="B24" s="71">
        <f>'👥 ÉQUIPES'!$B$24</f>
        <v>0</v>
      </c>
      <c r="C24" s="72" t="str">
        <f>'📊 TABLEAU DE BORD'!G26</f>
        <v>—</v>
      </c>
      <c r="D24" s="73" t="str">
        <f>'📊 TABLEAU DE BORD'!H26</f>
        <v>—</v>
      </c>
      <c r="E24" s="74" t="str">
        <f>IF('📊 TABLEAU DE BORD'!G26="—","⏳ Aucune donnée",IF('📊 TABLEAU DE BORD'!H26="A","✅ PAS DE FORMATION",IF('📊 TABLEAU DE BORD'!H26="B","📋 SUIVI MENSUEL",IF('📊 TABLEAU DE BORD'!H26="C","📚 FORMATION OBLIGATOIRE","🆘 REMISE À NIVEAU URGENTE"))))</f>
        <v>⏳ Aucune donnée</v>
      </c>
      <c r="F24" s="75" t="str">
        <f>IF('📊 TABLEAU DE BORD'!H26="—","—",IF('📊 TABLEAU DE BORD'!H26="A","Dans 6 mois",IF('📊 TABLEAU DE BORD'!H26="B","Dans 3 mois",IF('📊 TABLEAU DE BORD'!H26="C","Sous 30 jours","Sous 15 jours (URGENT)"))))</f>
        <v>—</v>
      </c>
      <c r="G24" s="47" t="str">
        <f>IF('📊 TABLEAU DE BORD'!G26="—","Aucune intervention enregistrée pour cette équipe.",IF('📊 TABLEAU DE BORD'!H26="A","🏆 "&amp;B24&amp;" excelle sur "&amp;'📊 TABLEAU DE BORD'!C26&amp;" intervention(s). Score moy "&amp;ROUND('📊 TABLEAU DE BORD'!G26,1)&amp;"/100. Maintenir le niveau, prévoir bilan semestriel.",IF('📊 TABLEAU DE BORD'!H26="B","✅ "&amp;B24&amp;" est opérationnelle sur "&amp;'📊 TABLEAU DE BORD'!C26&amp;" intervention(s). Score moy "&amp;ROUND('📊 TABLEAU DE BORD'!G26,1)&amp;"/100. Identifier les critères &lt; 4 dans l'onglet ⚠️ et planifier un coaching ciblé.",IF('📊 TABLEAU DE BORD'!H26="C","⚠️ "&amp;B24&amp;" nécessite un accompagnement sur "&amp;'📊 TABLEAU DE BORD'!C26&amp;" intervention(s). Score moy "&amp;ROUND('📊 TABLEAU DE BORD'!G26,1)&amp;"/100. Plan de formation 30 jours. Suivi hebdomadaire obligatoire. Revoir les critères rouges dans ⚠️ CRITÈRES FAIBLES.","🚨 "&amp;B24&amp;" : situation critique sur "&amp;'📊 TABLEAU DE BORD'!C26&amp;" intervention(s). Score moy "&amp;ROUND('📊 TABLEAU DE BORD'!G26,1)&amp;"/100. Remise à niveau immédiate. Accompagnement terrain quotidien. Réévaluation sous 15 jours. Voir critères ⚠️."))))</f>
        <v>Aucune intervention enregistrée pour cette équipe.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C3C7"/>
  </sheetPr>
  <dimension ref="A1:D43"/>
  <sheetViews>
    <sheetView showGridLines="0" zoomScaleNormal="100" workbookViewId="0">
      <selection sqref="A1:D1"/>
    </sheetView>
  </sheetViews>
  <sheetFormatPr baseColWidth="10" defaultColWidth="8.7109375" defaultRowHeight="15" x14ac:dyDescent="0.25"/>
  <cols>
    <col min="1" max="1" width="4" customWidth="1"/>
    <col min="2" max="2" width="22" customWidth="1"/>
    <col min="3" max="3" width="60" customWidth="1"/>
    <col min="4" max="4" width="4" customWidth="1"/>
  </cols>
  <sheetData>
    <row r="1" spans="1:4" ht="36" customHeight="1" x14ac:dyDescent="0.25">
      <c r="A1" s="4" t="s">
        <v>110</v>
      </c>
      <c r="B1" s="4"/>
      <c r="C1" s="4"/>
      <c r="D1" s="4"/>
    </row>
    <row r="2" spans="1:4" ht="14.25" customHeight="1" x14ac:dyDescent="0.25"/>
    <row r="3" spans="1:4" ht="25.5" customHeight="1" x14ac:dyDescent="0.25">
      <c r="A3" s="86" t="s">
        <v>111</v>
      </c>
      <c r="B3" s="86"/>
      <c r="C3" s="86"/>
      <c r="D3" s="86"/>
    </row>
    <row r="4" spans="1:4" ht="13.5" customHeight="1" x14ac:dyDescent="0.25"/>
    <row r="5" spans="1:4" ht="21.75" customHeight="1" x14ac:dyDescent="0.25">
      <c r="B5" s="76" t="s">
        <v>112</v>
      </c>
      <c r="C5" s="77" t="s">
        <v>113</v>
      </c>
    </row>
    <row r="6" spans="1:4" ht="21.75" customHeight="1" x14ac:dyDescent="0.25">
      <c r="B6" s="76" t="s">
        <v>114</v>
      </c>
      <c r="C6" s="78" t="s">
        <v>115</v>
      </c>
    </row>
    <row r="7" spans="1:4" ht="30.75" customHeight="1" x14ac:dyDescent="0.25">
      <c r="B7" s="76" t="s">
        <v>116</v>
      </c>
      <c r="C7" s="77" t="s">
        <v>117</v>
      </c>
    </row>
    <row r="8" spans="1:4" ht="30.75" customHeight="1" x14ac:dyDescent="0.25">
      <c r="B8" s="76" t="s">
        <v>118</v>
      </c>
      <c r="C8" s="78" t="s">
        <v>119</v>
      </c>
    </row>
    <row r="9" spans="1:4" ht="29.25" customHeight="1" x14ac:dyDescent="0.25">
      <c r="B9" s="76" t="s">
        <v>120</v>
      </c>
      <c r="C9" s="77" t="s">
        <v>121</v>
      </c>
    </row>
    <row r="10" spans="1:4" ht="32.25" customHeight="1" x14ac:dyDescent="0.25">
      <c r="B10" s="76" t="s">
        <v>122</v>
      </c>
      <c r="C10" s="78" t="s">
        <v>123</v>
      </c>
    </row>
    <row r="11" spans="1:4" ht="38.25" customHeight="1" x14ac:dyDescent="0.25">
      <c r="B11" s="76" t="s">
        <v>124</v>
      </c>
      <c r="C11" s="77" t="s">
        <v>125</v>
      </c>
    </row>
    <row r="12" spans="1:4" ht="14.25" customHeight="1" x14ac:dyDescent="0.25"/>
    <row r="13" spans="1:4" ht="25.5" customHeight="1" x14ac:dyDescent="0.25">
      <c r="A13" s="86" t="s">
        <v>126</v>
      </c>
      <c r="B13" s="86"/>
      <c r="C13" s="86"/>
      <c r="D13" s="86"/>
    </row>
    <row r="14" spans="1:4" ht="15" customHeight="1" x14ac:dyDescent="0.25"/>
    <row r="15" spans="1:4" ht="31.5" customHeight="1" x14ac:dyDescent="0.25">
      <c r="B15" s="76" t="s">
        <v>127</v>
      </c>
      <c r="C15" s="77" t="s">
        <v>128</v>
      </c>
    </row>
    <row r="16" spans="1:4" ht="24" customHeight="1" x14ac:dyDescent="0.25">
      <c r="B16" s="76" t="s">
        <v>129</v>
      </c>
      <c r="C16" s="78" t="s">
        <v>130</v>
      </c>
    </row>
    <row r="17" spans="1:4" ht="30" customHeight="1" x14ac:dyDescent="0.25">
      <c r="B17" s="76" t="s">
        <v>131</v>
      </c>
      <c r="C17" s="77" t="s">
        <v>132</v>
      </c>
    </row>
    <row r="18" spans="1:4" ht="21.75" customHeight="1" x14ac:dyDescent="0.25">
      <c r="B18" s="76" t="s">
        <v>133</v>
      </c>
      <c r="C18" s="78" t="s">
        <v>134</v>
      </c>
    </row>
    <row r="19" spans="1:4" ht="21.75" customHeight="1" x14ac:dyDescent="0.25">
      <c r="B19" s="76" t="s">
        <v>135</v>
      </c>
      <c r="C19" s="77" t="s">
        <v>136</v>
      </c>
    </row>
    <row r="20" spans="1:4" ht="21.75" customHeight="1" x14ac:dyDescent="0.25">
      <c r="B20" s="76" t="s">
        <v>137</v>
      </c>
      <c r="C20" s="78" t="s">
        <v>138</v>
      </c>
    </row>
    <row r="21" spans="1:4" ht="15" customHeight="1" x14ac:dyDescent="0.25"/>
    <row r="22" spans="1:4" ht="25.5" customHeight="1" x14ac:dyDescent="0.25">
      <c r="A22" s="86" t="s">
        <v>139</v>
      </c>
      <c r="B22" s="86"/>
      <c r="C22" s="86"/>
      <c r="D22" s="86"/>
    </row>
    <row r="23" spans="1:4" ht="15" customHeight="1" x14ac:dyDescent="0.25"/>
    <row r="24" spans="1:4" ht="29.25" customHeight="1" x14ac:dyDescent="0.25">
      <c r="B24" s="76" t="s">
        <v>140</v>
      </c>
      <c r="C24" s="78" t="s">
        <v>141</v>
      </c>
    </row>
    <row r="25" spans="1:4" ht="21.75" customHeight="1" x14ac:dyDescent="0.25">
      <c r="B25" s="76" t="s">
        <v>142</v>
      </c>
      <c r="C25" s="77" t="s">
        <v>143</v>
      </c>
    </row>
    <row r="26" spans="1:4" ht="21.75" customHeight="1" x14ac:dyDescent="0.25">
      <c r="B26" s="76" t="s">
        <v>144</v>
      </c>
      <c r="C26" s="78" t="s">
        <v>145</v>
      </c>
    </row>
    <row r="27" spans="1:4" ht="21.75" customHeight="1" x14ac:dyDescent="0.25">
      <c r="B27" s="76" t="s">
        <v>146</v>
      </c>
      <c r="C27" s="77" t="s">
        <v>147</v>
      </c>
    </row>
    <row r="28" spans="1:4" ht="21.75" customHeight="1" x14ac:dyDescent="0.25">
      <c r="B28" s="76" t="s">
        <v>148</v>
      </c>
      <c r="C28" s="78" t="s">
        <v>149</v>
      </c>
    </row>
    <row r="29" spans="1:4" ht="15" customHeight="1" x14ac:dyDescent="0.25"/>
    <row r="30" spans="1:4" ht="25.5" customHeight="1" x14ac:dyDescent="0.25">
      <c r="A30" s="86" t="s">
        <v>150</v>
      </c>
      <c r="B30" s="86"/>
      <c r="C30" s="86"/>
      <c r="D30" s="86"/>
    </row>
    <row r="31" spans="1:4" ht="15" customHeight="1" x14ac:dyDescent="0.25"/>
    <row r="32" spans="1:4" ht="21.75" customHeight="1" x14ac:dyDescent="0.25">
      <c r="B32" s="76" t="s">
        <v>151</v>
      </c>
      <c r="C32" s="78" t="s">
        <v>152</v>
      </c>
    </row>
    <row r="33" spans="1:4" ht="21.75" customHeight="1" x14ac:dyDescent="0.25">
      <c r="B33" s="76" t="s">
        <v>153</v>
      </c>
      <c r="C33" s="77" t="s">
        <v>154</v>
      </c>
    </row>
    <row r="34" spans="1:4" ht="21.75" customHeight="1" x14ac:dyDescent="0.25">
      <c r="B34" s="76" t="s">
        <v>155</v>
      </c>
      <c r="C34" s="78" t="s">
        <v>156</v>
      </c>
    </row>
    <row r="35" spans="1:4" ht="21.75" customHeight="1" x14ac:dyDescent="0.25">
      <c r="B35" s="76" t="s">
        <v>157</v>
      </c>
      <c r="C35" s="77" t="s">
        <v>158</v>
      </c>
    </row>
    <row r="36" spans="1:4" ht="15" customHeight="1" x14ac:dyDescent="0.25"/>
    <row r="37" spans="1:4" ht="25.5" customHeight="1" x14ac:dyDescent="0.25">
      <c r="A37" s="86" t="s">
        <v>159</v>
      </c>
      <c r="B37" s="86"/>
      <c r="C37" s="86"/>
      <c r="D37" s="86"/>
    </row>
    <row r="38" spans="1:4" ht="15" customHeight="1" x14ac:dyDescent="0.25"/>
    <row r="39" spans="1:4" ht="21.75" customHeight="1" x14ac:dyDescent="0.25">
      <c r="B39" s="76" t="s">
        <v>160</v>
      </c>
      <c r="C39" s="77" t="s">
        <v>161</v>
      </c>
    </row>
    <row r="40" spans="1:4" ht="21.75" customHeight="1" x14ac:dyDescent="0.25">
      <c r="B40" s="76" t="s">
        <v>162</v>
      </c>
      <c r="C40" s="78" t="s">
        <v>163</v>
      </c>
    </row>
    <row r="41" spans="1:4" ht="21.75" customHeight="1" x14ac:dyDescent="0.25">
      <c r="B41" s="76" t="s">
        <v>164</v>
      </c>
      <c r="C41" s="77" t="s">
        <v>165</v>
      </c>
    </row>
    <row r="42" spans="1:4" ht="21.75" customHeight="1" x14ac:dyDescent="0.25">
      <c r="B42" s="76" t="s">
        <v>166</v>
      </c>
      <c r="C42" s="78" t="s">
        <v>167</v>
      </c>
    </row>
    <row r="43" spans="1:4" ht="21.75" customHeight="1" x14ac:dyDescent="0.25">
      <c r="B43" s="76" t="s">
        <v>168</v>
      </c>
      <c r="C43" s="77" t="s">
        <v>169</v>
      </c>
    </row>
  </sheetData>
  <mergeCells count="6">
    <mergeCell ref="A37:D37"/>
    <mergeCell ref="A1:D1"/>
    <mergeCell ref="A3:D3"/>
    <mergeCell ref="A13:D13"/>
    <mergeCell ref="A22:D22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👥 ÉQUIPES</vt:lpstr>
      <vt:lpstr>📋 SAISIE</vt:lpstr>
      <vt:lpstr>📊 TABLEAU DE BORD</vt:lpstr>
      <vt:lpstr>📅 SUIVI PAR JOUR</vt:lpstr>
      <vt:lpstr>⚠️ CRITÈRES FAIBLES</vt:lpstr>
      <vt:lpstr>🎓 PLAN FORMATION</vt:lpstr>
      <vt:lpstr>ℹ️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Roderic MBA NDONG</cp:lastModifiedBy>
  <cp:revision>0</cp:revision>
  <dcterms:created xsi:type="dcterms:W3CDTF">2026-06-20T20:22:39Z</dcterms:created>
  <dcterms:modified xsi:type="dcterms:W3CDTF">2026-06-22T15:18:11Z</dcterms:modified>
  <dc:language>en-US</dc:language>
</cp:coreProperties>
</file>